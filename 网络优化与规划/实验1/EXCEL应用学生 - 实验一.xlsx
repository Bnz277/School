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网络优化与规划\实验1\"/>
    </mc:Choice>
  </mc:AlternateContent>
  <xr:revisionPtr revIDLastSave="0" documentId="13_ncr:1_{71AD3400-0B0F-49F8-B39E-5F693C898F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Sheet1!$A$1:$L$32</definedName>
    <definedName name="_xlnm._FilterDatabase" localSheetId="1" hidden="1">sheet2!$A$1:$O$32</definedName>
    <definedName name="_xlnm._FilterDatabase" localSheetId="2" hidden="1">Sheet3!$A$1:$E$31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A69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2" i="2"/>
  <c r="G7" i="2"/>
  <c r="J3" i="1"/>
  <c r="K32" i="2"/>
  <c r="J32" i="2"/>
  <c r="I32" i="2"/>
  <c r="H32" i="2"/>
  <c r="G32" i="2"/>
  <c r="F32" i="2"/>
  <c r="K31" i="2"/>
  <c r="J31" i="2"/>
  <c r="I31" i="2"/>
  <c r="H31" i="2"/>
  <c r="G31" i="2"/>
  <c r="F31" i="2"/>
  <c r="K30" i="2"/>
  <c r="J30" i="2"/>
  <c r="I30" i="2"/>
  <c r="H30" i="2"/>
  <c r="G30" i="2"/>
  <c r="F30" i="2"/>
  <c r="K29" i="2"/>
  <c r="J29" i="2"/>
  <c r="I29" i="2"/>
  <c r="H29" i="2"/>
  <c r="G29" i="2"/>
  <c r="F29" i="2"/>
  <c r="K28" i="2"/>
  <c r="J28" i="2"/>
  <c r="I28" i="2"/>
  <c r="H28" i="2"/>
  <c r="G28" i="2"/>
  <c r="F28" i="2"/>
  <c r="K27" i="2"/>
  <c r="J27" i="2"/>
  <c r="I27" i="2"/>
  <c r="H27" i="2"/>
  <c r="G27" i="2"/>
  <c r="F27" i="2"/>
  <c r="K26" i="2"/>
  <c r="J26" i="2"/>
  <c r="I26" i="2"/>
  <c r="H26" i="2"/>
  <c r="G26" i="2"/>
  <c r="F26" i="2"/>
  <c r="K25" i="2"/>
  <c r="J25" i="2"/>
  <c r="I25" i="2"/>
  <c r="H25" i="2"/>
  <c r="G25" i="2"/>
  <c r="F25" i="2"/>
  <c r="K24" i="2"/>
  <c r="J24" i="2"/>
  <c r="I24" i="2"/>
  <c r="H24" i="2"/>
  <c r="G24" i="2"/>
  <c r="F24" i="2"/>
  <c r="K23" i="2"/>
  <c r="J23" i="2"/>
  <c r="I23" i="2"/>
  <c r="H23" i="2"/>
  <c r="G23" i="2"/>
  <c r="F23" i="2"/>
  <c r="K22" i="2"/>
  <c r="J22" i="2"/>
  <c r="I22" i="2"/>
  <c r="H22" i="2"/>
  <c r="G22" i="2"/>
  <c r="F22" i="2"/>
  <c r="K21" i="2"/>
  <c r="J21" i="2"/>
  <c r="I21" i="2"/>
  <c r="H21" i="2"/>
  <c r="G21" i="2"/>
  <c r="F21" i="2"/>
  <c r="K20" i="2"/>
  <c r="J20" i="2"/>
  <c r="I20" i="2"/>
  <c r="H20" i="2"/>
  <c r="G20" i="2"/>
  <c r="F20" i="2"/>
  <c r="K19" i="2"/>
  <c r="J19" i="2"/>
  <c r="I19" i="2"/>
  <c r="H19" i="2"/>
  <c r="G19" i="2"/>
  <c r="F19" i="2"/>
  <c r="K18" i="2"/>
  <c r="J18" i="2"/>
  <c r="I18" i="2"/>
  <c r="H18" i="2"/>
  <c r="G18" i="2"/>
  <c r="F18" i="2"/>
  <c r="K17" i="2"/>
  <c r="J17" i="2"/>
  <c r="I17" i="2"/>
  <c r="H17" i="2"/>
  <c r="G17" i="2"/>
  <c r="F17" i="2"/>
  <c r="K16" i="2"/>
  <c r="J16" i="2"/>
  <c r="I16" i="2"/>
  <c r="H16" i="2"/>
  <c r="G16" i="2"/>
  <c r="F16" i="2"/>
  <c r="K15" i="2"/>
  <c r="J15" i="2"/>
  <c r="I15" i="2"/>
  <c r="H15" i="2"/>
  <c r="G15" i="2"/>
  <c r="F15" i="2"/>
  <c r="K14" i="2"/>
  <c r="J14" i="2"/>
  <c r="I14" i="2"/>
  <c r="H14" i="2"/>
  <c r="G14" i="2"/>
  <c r="F14" i="2"/>
  <c r="K13" i="2"/>
  <c r="J13" i="2"/>
  <c r="I13" i="2"/>
  <c r="H13" i="2"/>
  <c r="G13" i="2"/>
  <c r="F13" i="2"/>
  <c r="K12" i="2"/>
  <c r="J12" i="2"/>
  <c r="I12" i="2"/>
  <c r="H12" i="2"/>
  <c r="G12" i="2"/>
  <c r="F12" i="2"/>
  <c r="K11" i="2"/>
  <c r="J11" i="2"/>
  <c r="I11" i="2"/>
  <c r="H11" i="2"/>
  <c r="G11" i="2"/>
  <c r="F11" i="2"/>
  <c r="K10" i="2"/>
  <c r="J10" i="2"/>
  <c r="I10" i="2"/>
  <c r="H10" i="2"/>
  <c r="G10" i="2"/>
  <c r="F10" i="2"/>
  <c r="K9" i="2"/>
  <c r="J9" i="2"/>
  <c r="I9" i="2"/>
  <c r="H9" i="2"/>
  <c r="G9" i="2"/>
  <c r="F9" i="2"/>
  <c r="K8" i="2"/>
  <c r="J8" i="2"/>
  <c r="I8" i="2"/>
  <c r="H8" i="2"/>
  <c r="G8" i="2"/>
  <c r="F8" i="2"/>
  <c r="K7" i="2"/>
  <c r="J7" i="2"/>
  <c r="I7" i="2"/>
  <c r="H7" i="2"/>
  <c r="F7" i="2"/>
  <c r="K6" i="2"/>
  <c r="J6" i="2"/>
  <c r="I6" i="2"/>
  <c r="H6" i="2"/>
  <c r="G6" i="2"/>
  <c r="F6" i="2"/>
  <c r="K5" i="2"/>
  <c r="J5" i="2"/>
  <c r="I5" i="2"/>
  <c r="H5" i="2"/>
  <c r="G5" i="2"/>
  <c r="F5" i="2"/>
  <c r="K4" i="2"/>
  <c r="J4" i="2"/>
  <c r="I4" i="2"/>
  <c r="H4" i="2"/>
  <c r="G4" i="2"/>
  <c r="F4" i="2"/>
  <c r="O3" i="2"/>
  <c r="K3" i="2"/>
  <c r="J3" i="2"/>
  <c r="I3" i="2"/>
  <c r="H3" i="2"/>
  <c r="G3" i="2"/>
  <c r="O2" i="2"/>
  <c r="K2" i="2"/>
  <c r="J2" i="2"/>
  <c r="I2" i="2"/>
  <c r="H2" i="2"/>
  <c r="G2" i="2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8" i="1"/>
  <c r="I28" i="1"/>
  <c r="H28" i="1"/>
  <c r="G28" i="1"/>
  <c r="F28" i="1"/>
  <c r="J27" i="1"/>
  <c r="I27" i="1"/>
  <c r="H27" i="1"/>
  <c r="G27" i="1"/>
  <c r="F27" i="1"/>
  <c r="J26" i="1"/>
  <c r="I26" i="1"/>
  <c r="H26" i="1"/>
  <c r="G26" i="1"/>
  <c r="F26" i="1"/>
  <c r="J25" i="1"/>
  <c r="I25" i="1"/>
  <c r="H25" i="1"/>
  <c r="G25" i="1"/>
  <c r="F25" i="1"/>
  <c r="J24" i="1"/>
  <c r="I24" i="1"/>
  <c r="H24" i="1"/>
  <c r="G24" i="1"/>
  <c r="F24" i="1"/>
  <c r="J23" i="1"/>
  <c r="I23" i="1"/>
  <c r="H23" i="1"/>
  <c r="G23" i="1"/>
  <c r="F23" i="1"/>
  <c r="J22" i="1"/>
  <c r="I22" i="1"/>
  <c r="H22" i="1"/>
  <c r="G22" i="1"/>
  <c r="F22" i="1"/>
  <c r="J21" i="1"/>
  <c r="I21" i="1"/>
  <c r="H21" i="1"/>
  <c r="G21" i="1"/>
  <c r="F21" i="1"/>
  <c r="J20" i="1"/>
  <c r="I20" i="1"/>
  <c r="H20" i="1"/>
  <c r="G20" i="1"/>
  <c r="F20" i="1"/>
  <c r="J19" i="1"/>
  <c r="I19" i="1"/>
  <c r="H19" i="1"/>
  <c r="G19" i="1"/>
  <c r="F19" i="1"/>
  <c r="J18" i="1"/>
  <c r="I18" i="1"/>
  <c r="H18" i="1"/>
  <c r="G18" i="1"/>
  <c r="F18" i="1"/>
  <c r="J17" i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J9" i="1"/>
  <c r="I9" i="1"/>
  <c r="H9" i="1"/>
  <c r="G9" i="1"/>
  <c r="F9" i="1"/>
  <c r="J8" i="1"/>
  <c r="I8" i="1"/>
  <c r="H8" i="1"/>
  <c r="G8" i="1"/>
  <c r="F8" i="1"/>
  <c r="J7" i="1"/>
  <c r="I7" i="1"/>
  <c r="H7" i="1"/>
  <c r="G7" i="1"/>
  <c r="F7" i="1"/>
  <c r="J6" i="1"/>
  <c r="I6" i="1"/>
  <c r="H6" i="1"/>
  <c r="G6" i="1"/>
  <c r="F6" i="1"/>
  <c r="J5" i="1"/>
  <c r="I5" i="1"/>
  <c r="H5" i="1"/>
  <c r="G5" i="1"/>
  <c r="F5" i="1"/>
  <c r="J4" i="1"/>
  <c r="I4" i="1"/>
  <c r="H4" i="1"/>
  <c r="G4" i="1"/>
  <c r="F4" i="1"/>
  <c r="I3" i="1"/>
  <c r="H3" i="1"/>
  <c r="G3" i="1"/>
  <c r="F3" i="1"/>
  <c r="J2" i="1"/>
  <c r="I2" i="1"/>
  <c r="H2" i="1"/>
  <c r="G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批注</author>
  </authors>
  <commentList>
    <comment ref="A1" authorId="0" shapeId="0" xr:uid="{00000000-0006-0000-0100-000001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用公式从sheet1获取学号</t>
        </r>
      </text>
    </comment>
    <comment ref="F1" authorId="0" shapeId="0" xr:uid="{00000000-0006-0000-0100-000002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平时成绩 50%
实验操作 50%</t>
        </r>
      </text>
    </comment>
  </commentList>
</comments>
</file>

<file path=xl/sharedStrings.xml><?xml version="1.0" encoding="utf-8"?>
<sst xmlns="http://schemas.openxmlformats.org/spreadsheetml/2006/main" count="256" uniqueCount="93">
  <si>
    <t>学号，姓名</t>
  </si>
  <si>
    <t>姓名</t>
  </si>
  <si>
    <t>性别</t>
  </si>
  <si>
    <t>平时成绩</t>
  </si>
  <si>
    <t>考试成绩</t>
  </si>
  <si>
    <t>学号</t>
  </si>
  <si>
    <t>学号长度</t>
  </si>
  <si>
    <t>取学号前四位</t>
  </si>
  <si>
    <t>取学号后三位</t>
  </si>
  <si>
    <t>取学号中间三位</t>
  </si>
  <si>
    <t>1609106003,蔡雨阳</t>
  </si>
  <si>
    <t>蔡雨阳</t>
  </si>
  <si>
    <t>男</t>
  </si>
  <si>
    <t>1、Sheet1用不同方法获取学生对应学号数据等计算</t>
  </si>
  <si>
    <t>1609106004,姚德宇</t>
  </si>
  <si>
    <t>姚德宇</t>
  </si>
  <si>
    <t>2、完成表sheet2相关计算</t>
  </si>
  <si>
    <t>1609106005,方印</t>
  </si>
  <si>
    <t>方印</t>
  </si>
  <si>
    <t>女</t>
  </si>
  <si>
    <t>3、sheet3数据透视表相关练习统计</t>
  </si>
  <si>
    <t>1609106006,鲁茜</t>
  </si>
  <si>
    <t>鲁茜</t>
  </si>
  <si>
    <t>1609106007,钱辰</t>
  </si>
  <si>
    <t>钱辰</t>
  </si>
  <si>
    <t>1609106008,赵永涛</t>
  </si>
  <si>
    <t>赵永涛</t>
  </si>
  <si>
    <t>1609106009,沈雪滨</t>
  </si>
  <si>
    <t>沈雪滨</t>
  </si>
  <si>
    <t>1609106010,周小倩</t>
  </si>
  <si>
    <t>周小倩</t>
  </si>
  <si>
    <t>1609106011,张崇金</t>
  </si>
  <si>
    <t>张崇金</t>
  </si>
  <si>
    <t>1609106012,王淑浈</t>
  </si>
  <si>
    <t>王淑浈</t>
  </si>
  <si>
    <t>1609106013,樊文强</t>
  </si>
  <si>
    <t>樊文强</t>
  </si>
  <si>
    <t>1609106014,黄宏星</t>
  </si>
  <si>
    <t>黄宏星</t>
  </si>
  <si>
    <t>1609106015,夏婷婷</t>
  </si>
  <si>
    <t>夏婷婷</t>
  </si>
  <si>
    <t>1609106016,谢昊龙</t>
  </si>
  <si>
    <t>谢昊龙</t>
  </si>
  <si>
    <t>1609106017,周永清</t>
  </si>
  <si>
    <t>周永清</t>
  </si>
  <si>
    <t>1609106018,陈涛</t>
  </si>
  <si>
    <t>陈涛</t>
  </si>
  <si>
    <t>1609106019,李钰颖</t>
  </si>
  <si>
    <t>李钰颖</t>
  </si>
  <si>
    <t>1609106020,杨敬修</t>
  </si>
  <si>
    <t>杨敬修</t>
  </si>
  <si>
    <t>1609106021,童伟</t>
  </si>
  <si>
    <t>童伟</t>
  </si>
  <si>
    <t>1609106022,欧阳宇杰</t>
  </si>
  <si>
    <t>欧阳宇杰</t>
  </si>
  <si>
    <t>1609106023,杨毅成</t>
  </si>
  <si>
    <t>杨毅成</t>
  </si>
  <si>
    <t>1609106024,杨星</t>
  </si>
  <si>
    <t>杨星</t>
  </si>
  <si>
    <t>1609106025,曹枝军</t>
  </si>
  <si>
    <t>曹枝军</t>
  </si>
  <si>
    <t>1609106026,曾昊</t>
  </si>
  <si>
    <t>曾昊</t>
  </si>
  <si>
    <t>1609106027,孔繁辉</t>
  </si>
  <si>
    <t>孔繁辉</t>
  </si>
  <si>
    <t>1609106028,贺佩文</t>
  </si>
  <si>
    <t>贺佩文</t>
  </si>
  <si>
    <t>1609106029,黄招</t>
  </si>
  <si>
    <t>黄招</t>
  </si>
  <si>
    <t>1609106030,余攀宇</t>
  </si>
  <si>
    <t>余攀宇</t>
  </si>
  <si>
    <t>1609106031,邹颖俊</t>
  </si>
  <si>
    <t>邹颖俊</t>
  </si>
  <si>
    <t>1609106032,黄立文</t>
  </si>
  <si>
    <t>黄立文</t>
  </si>
  <si>
    <t>1609106033,XXX</t>
  </si>
  <si>
    <t>XXX</t>
  </si>
  <si>
    <t>最终成绩</t>
  </si>
  <si>
    <t>成绩（四舍五入）</t>
  </si>
  <si>
    <t>成绩分级</t>
  </si>
  <si>
    <t>成绩排名</t>
  </si>
  <si>
    <r>
      <rPr>
        <sz val="11"/>
        <color theme="1"/>
        <rFont val="宋体"/>
        <charset val="134"/>
        <scheme val="minor"/>
      </rPr>
      <t>重复</t>
    </r>
    <r>
      <rPr>
        <sz val="11"/>
        <color rgb="FFFF0000"/>
        <rFont val="宋体"/>
        <charset val="134"/>
        <scheme val="minor"/>
      </rPr>
      <t>成绩个数</t>
    </r>
  </si>
  <si>
    <t>是否及格</t>
  </si>
  <si>
    <t>最高成绩</t>
  </si>
  <si>
    <t>平均成绩</t>
  </si>
  <si>
    <t>上课表现</t>
  </si>
  <si>
    <t>实验操作</t>
  </si>
  <si>
    <t>状态</t>
  </si>
  <si>
    <t>叶县</t>
  </si>
  <si>
    <t>替换前</t>
  </si>
  <si>
    <t>无线话务量</t>
  </si>
  <si>
    <t>平均值</t>
  </si>
  <si>
    <t>替换后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</si>
</sst>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colors>
    <mruColors>
      <color rgb="FFD17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话务量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替换前</c:v>
          </c:tx>
          <c:spPr>
            <a:solidFill>
              <a:srgbClr val="D1725F"/>
            </a:solidFill>
            <a:ln>
              <a:noFill/>
            </a:ln>
            <a:effectLst/>
          </c:spPr>
          <c:invertIfNegative val="0"/>
          <c:val>
            <c:numRef>
              <c:f>Sheet3!$J$2:$P$2</c:f>
              <c:numCache>
                <c:formatCode>General</c:formatCode>
                <c:ptCount val="7"/>
                <c:pt idx="0">
                  <c:v>2242.84</c:v>
                </c:pt>
                <c:pt idx="1">
                  <c:v>2366.7199999999998</c:v>
                </c:pt>
                <c:pt idx="2">
                  <c:v>2334.58</c:v>
                </c:pt>
                <c:pt idx="3">
                  <c:v>2284.29</c:v>
                </c:pt>
                <c:pt idx="4">
                  <c:v>2366.5100000000002</c:v>
                </c:pt>
                <c:pt idx="5">
                  <c:v>2302.2800000000002</c:v>
                </c:pt>
                <c:pt idx="6">
                  <c:v>2361.3200000000002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9-4336-8ED0-49DF48AC1870}"/>
            </c:ext>
          </c:extLst>
        </c:ser>
        <c:ser>
          <c:idx val="1"/>
          <c:order val="1"/>
          <c:tx>
            <c:v>替换后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Sheet3!$J$5:$P$5</c:f>
              <c:numCache>
                <c:formatCode>General</c:formatCode>
                <c:ptCount val="7"/>
                <c:pt idx="0">
                  <c:v>2300.31</c:v>
                </c:pt>
                <c:pt idx="1">
                  <c:v>2400.0700000000002</c:v>
                </c:pt>
                <c:pt idx="2">
                  <c:v>2407.6</c:v>
                </c:pt>
                <c:pt idx="3">
                  <c:v>2362.5100000000002</c:v>
                </c:pt>
                <c:pt idx="4">
                  <c:v>2389.81</c:v>
                </c:pt>
                <c:pt idx="5">
                  <c:v>2509.7600000000002</c:v>
                </c:pt>
                <c:pt idx="6">
                  <c:v>2457.1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9-4336-8ED0-49DF48AC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51298776"/>
        <c:axId val="727045912"/>
      </c:barChart>
      <c:lineChart>
        <c:grouping val="standard"/>
        <c:varyColors val="0"/>
        <c:ser>
          <c:idx val="2"/>
          <c:order val="2"/>
          <c:tx>
            <c:v>替换前平均</c:v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Sheet3!$J$3:$P$3</c:f>
              <c:numCache>
                <c:formatCode>General</c:formatCode>
                <c:ptCount val="7"/>
                <c:pt idx="0">
                  <c:v>2322.65</c:v>
                </c:pt>
                <c:pt idx="1">
                  <c:v>2322.65</c:v>
                </c:pt>
                <c:pt idx="2">
                  <c:v>2322.65</c:v>
                </c:pt>
                <c:pt idx="3">
                  <c:v>2322.65</c:v>
                </c:pt>
                <c:pt idx="4">
                  <c:v>2322.65</c:v>
                </c:pt>
                <c:pt idx="5">
                  <c:v>2322.65</c:v>
                </c:pt>
                <c:pt idx="6">
                  <c:v>2322.65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9-4336-8ED0-49DF48AC1870}"/>
            </c:ext>
          </c:extLst>
        </c:ser>
        <c:ser>
          <c:idx val="3"/>
          <c:order val="3"/>
          <c:tx>
            <c:v>替换后平均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Sheet3!$J$6:$P$6</c:f>
              <c:numCache>
                <c:formatCode>General</c:formatCode>
                <c:ptCount val="7"/>
                <c:pt idx="0">
                  <c:v>2403.88</c:v>
                </c:pt>
                <c:pt idx="1">
                  <c:v>2403.88</c:v>
                </c:pt>
                <c:pt idx="2">
                  <c:v>2403.88</c:v>
                </c:pt>
                <c:pt idx="3">
                  <c:v>2403.88</c:v>
                </c:pt>
                <c:pt idx="4">
                  <c:v>2403.88</c:v>
                </c:pt>
                <c:pt idx="5">
                  <c:v>2403.88</c:v>
                </c:pt>
                <c:pt idx="6">
                  <c:v>2403.88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D9-4336-8ED0-49DF48AC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298776"/>
        <c:axId val="727045912"/>
      </c:lineChart>
      <c:catAx>
        <c:axId val="45129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045912"/>
        <c:crosses val="autoZero"/>
        <c:auto val="1"/>
        <c:lblAlgn val="ctr"/>
        <c:lblOffset val="100"/>
        <c:noMultiLvlLbl val="0"/>
      </c:catAx>
      <c:valAx>
        <c:axId val="72704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1298776"/>
        <c:crosses val="autoZero"/>
        <c:crossBetween val="between"/>
      </c:valAx>
      <c:spPr>
        <a:solidFill>
          <a:srgbClr val="FFFF00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0-490B-A149-FD00BE9DC2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0-490B-A149-FD00BE9DC2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0-490B-A149-FD00BE9DC2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10-490B-A149-FD00BE9DC2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10-490B-A149-FD00BE9DC2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10-490B-A149-FD00BE9DC2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10-490B-A149-FD00BE9DC2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10-490B-A149-FD00BE9DC2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10-490B-A149-FD00BE9DC2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10-490B-A149-FD00BE9DC27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10-490B-A149-FD00BE9DC27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10-490B-A149-FD00BE9DC27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10-490B-A149-FD00BE9DC27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E10-490B-A149-FD00BE9DC27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E10-490B-A149-FD00BE9DC2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Sheet3!$D$2:$D$16</c:f>
              <c:numCache>
                <c:formatCode>General</c:formatCode>
                <c:ptCount val="15"/>
                <c:pt idx="0">
                  <c:v>89</c:v>
                </c:pt>
                <c:pt idx="1">
                  <c:v>80</c:v>
                </c:pt>
                <c:pt idx="2">
                  <c:v>80</c:v>
                </c:pt>
                <c:pt idx="3">
                  <c:v>82</c:v>
                </c:pt>
                <c:pt idx="4">
                  <c:v>83</c:v>
                </c:pt>
                <c:pt idx="5">
                  <c:v>86</c:v>
                </c:pt>
                <c:pt idx="6">
                  <c:v>79</c:v>
                </c:pt>
                <c:pt idx="7">
                  <c:v>83</c:v>
                </c:pt>
                <c:pt idx="8">
                  <c:v>76</c:v>
                </c:pt>
                <c:pt idx="9">
                  <c:v>79</c:v>
                </c:pt>
                <c:pt idx="10">
                  <c:v>80</c:v>
                </c:pt>
                <c:pt idx="11">
                  <c:v>82</c:v>
                </c:pt>
                <c:pt idx="12">
                  <c:v>85</c:v>
                </c:pt>
                <c:pt idx="13">
                  <c:v>81</c:v>
                </c:pt>
                <c:pt idx="1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318D-4CCA-A9D1-B7039066BF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751114</xdr:colOff>
      <xdr:row>15</xdr:row>
      <xdr:rowOff>108857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3A47E9E-8A7F-688E-294B-F04C89A8B190}"/>
            </a:ext>
          </a:extLst>
        </xdr:cNvPr>
        <xdr:cNvSpPr txBox="1"/>
      </xdr:nvSpPr>
      <xdr:spPr>
        <a:xfrm>
          <a:off x="9710057" y="315685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4990</xdr:colOff>
      <xdr:row>0</xdr:row>
      <xdr:rowOff>236220</xdr:rowOff>
    </xdr:from>
    <xdr:to>
      <xdr:col>23</xdr:col>
      <xdr:colOff>4355</xdr:colOff>
      <xdr:row>11</xdr:row>
      <xdr:rowOff>105410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3961" y="236220"/>
          <a:ext cx="3047365" cy="210076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481149</xdr:colOff>
      <xdr:row>6</xdr:row>
      <xdr:rowOff>113212</xdr:rowOff>
    </xdr:from>
    <xdr:to>
      <xdr:col>15</xdr:col>
      <xdr:colOff>435430</xdr:colOff>
      <xdr:row>21</xdr:row>
      <xdr:rowOff>105592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6949" y="1365069"/>
          <a:ext cx="5538652" cy="293152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380007</xdr:colOff>
      <xdr:row>22</xdr:row>
      <xdr:rowOff>50469</xdr:rowOff>
    </xdr:from>
    <xdr:to>
      <xdr:col>15</xdr:col>
      <xdr:colOff>489856</xdr:colOff>
      <xdr:row>36</xdr:row>
      <xdr:rowOff>88074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4944E3E-08DA-5991-C26A-EDC62D9A7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110777</xdr:colOff>
      <xdr:row>14</xdr:row>
      <xdr:rowOff>76199</xdr:rowOff>
    </xdr:from>
    <xdr:to>
      <xdr:col>23</xdr:col>
      <xdr:colOff>415577</xdr:colOff>
      <xdr:row>28</xdr:row>
      <xdr:rowOff>58269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CC043B4-B481-4A1E-C40E-887CB8B8D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zoomScale="85" zoomScaleNormal="85" workbookViewId="0">
      <selection activeCell="J3" sqref="J3"/>
    </sheetView>
  </sheetViews>
  <sheetFormatPr defaultColWidth="9" defaultRowHeight="14.4" x14ac:dyDescent="0.25"/>
  <cols>
    <col min="1" max="1" width="23.109375" customWidth="1"/>
    <col min="2" max="2" width="10.88671875" customWidth="1"/>
    <col min="4" max="4" width="10.77734375" customWidth="1"/>
    <col min="5" max="5" width="11.33203125" customWidth="1"/>
    <col min="6" max="7" width="18.109375" customWidth="1"/>
    <col min="8" max="8" width="17.109375" customWidth="1"/>
    <col min="9" max="9" width="14.109375" customWidth="1"/>
    <col min="10" max="11" width="16.44140625" customWidth="1"/>
    <col min="12" max="12" width="10" customWidth="1"/>
  </cols>
  <sheetData>
    <row r="1" spans="1:12" ht="2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2" ht="15.6" x14ac:dyDescent="0.25">
      <c r="A2" s="14" t="s">
        <v>10</v>
      </c>
      <c r="B2" s="4" t="s">
        <v>11</v>
      </c>
      <c r="C2" s="4" t="s">
        <v>12</v>
      </c>
      <c r="D2" s="4">
        <v>81</v>
      </c>
      <c r="E2" s="4">
        <v>82</v>
      </c>
      <c r="F2" s="12" t="str">
        <f t="shared" ref="F2:F32" si="0">LEFT(A2,10)</f>
        <v>1609106003</v>
      </c>
      <c r="G2" s="12">
        <f t="shared" ref="G2:G32" si="1">LEN(F2)</f>
        <v>10</v>
      </c>
      <c r="H2" s="12" t="str">
        <f t="shared" ref="H2:H32" si="2">LEFT(F2,4)</f>
        <v>1609</v>
      </c>
      <c r="I2" s="12" t="str">
        <f t="shared" ref="I2:I32" si="3">RIGHT(F2,3)</f>
        <v>003</v>
      </c>
      <c r="J2" s="12" t="str">
        <f t="shared" ref="J2:J32" si="4">MID(F2,5,3)</f>
        <v>106</v>
      </c>
      <c r="K2" s="16"/>
      <c r="L2" s="17" t="s">
        <v>13</v>
      </c>
    </row>
    <row r="3" spans="1:12" ht="15.6" x14ac:dyDescent="0.25">
      <c r="A3" s="14" t="s">
        <v>14</v>
      </c>
      <c r="B3" s="4" t="s">
        <v>15</v>
      </c>
      <c r="C3" s="4" t="s">
        <v>12</v>
      </c>
      <c r="D3" s="4">
        <v>83</v>
      </c>
      <c r="E3" s="4">
        <v>86</v>
      </c>
      <c r="F3" s="12" t="str">
        <f t="shared" si="0"/>
        <v>1609106004</v>
      </c>
      <c r="G3" s="12">
        <f t="shared" si="1"/>
        <v>10</v>
      </c>
      <c r="H3" s="12" t="str">
        <f t="shared" si="2"/>
        <v>1609</v>
      </c>
      <c r="I3" s="12" t="str">
        <f t="shared" si="3"/>
        <v>004</v>
      </c>
      <c r="J3" s="12" t="str">
        <f>MID(F3,5,3)</f>
        <v>106</v>
      </c>
      <c r="K3" s="16"/>
      <c r="L3" s="17" t="s">
        <v>16</v>
      </c>
    </row>
    <row r="4" spans="1:12" ht="15.6" x14ac:dyDescent="0.25">
      <c r="A4" s="14" t="s">
        <v>17</v>
      </c>
      <c r="B4" s="4" t="s">
        <v>18</v>
      </c>
      <c r="C4" s="4" t="s">
        <v>19</v>
      </c>
      <c r="D4" s="4">
        <v>85</v>
      </c>
      <c r="E4" s="4">
        <v>94</v>
      </c>
      <c r="F4" s="12" t="str">
        <f t="shared" si="0"/>
        <v>1609106005</v>
      </c>
      <c r="G4" s="12">
        <f t="shared" si="1"/>
        <v>10</v>
      </c>
      <c r="H4" s="12" t="str">
        <f t="shared" si="2"/>
        <v>1609</v>
      </c>
      <c r="I4" s="12" t="str">
        <f t="shared" si="3"/>
        <v>005</v>
      </c>
      <c r="J4" s="12" t="str">
        <f t="shared" si="4"/>
        <v>106</v>
      </c>
      <c r="K4" s="16"/>
      <c r="L4" s="17" t="s">
        <v>20</v>
      </c>
    </row>
    <row r="5" spans="1:12" ht="15.6" x14ac:dyDescent="0.25">
      <c r="A5" s="14" t="s">
        <v>21</v>
      </c>
      <c r="B5" s="4" t="s">
        <v>22</v>
      </c>
      <c r="C5" s="4" t="s">
        <v>12</v>
      </c>
      <c r="D5" s="4">
        <v>82</v>
      </c>
      <c r="E5" s="4">
        <v>82</v>
      </c>
      <c r="F5" s="12" t="str">
        <f t="shared" si="0"/>
        <v>1609106006</v>
      </c>
      <c r="G5" s="12">
        <f t="shared" si="1"/>
        <v>10</v>
      </c>
      <c r="H5" s="12" t="str">
        <f t="shared" si="2"/>
        <v>1609</v>
      </c>
      <c r="I5" s="12" t="str">
        <f t="shared" si="3"/>
        <v>006</v>
      </c>
      <c r="J5" s="12" t="str">
        <f t="shared" si="4"/>
        <v>106</v>
      </c>
      <c r="K5" s="16"/>
    </row>
    <row r="6" spans="1:12" ht="15.6" x14ac:dyDescent="0.25">
      <c r="A6" s="14" t="s">
        <v>23</v>
      </c>
      <c r="B6" s="4" t="s">
        <v>24</v>
      </c>
      <c r="C6" s="4" t="s">
        <v>12</v>
      </c>
      <c r="D6" s="4">
        <v>77</v>
      </c>
      <c r="E6" s="4">
        <v>90</v>
      </c>
      <c r="F6" s="12" t="str">
        <f t="shared" si="0"/>
        <v>1609106007</v>
      </c>
      <c r="G6" s="12">
        <f t="shared" si="1"/>
        <v>10</v>
      </c>
      <c r="H6" s="12" t="str">
        <f t="shared" si="2"/>
        <v>1609</v>
      </c>
      <c r="I6" s="12" t="str">
        <f t="shared" si="3"/>
        <v>007</v>
      </c>
      <c r="J6" s="12" t="str">
        <f t="shared" si="4"/>
        <v>106</v>
      </c>
      <c r="K6" s="16"/>
    </row>
    <row r="7" spans="1:12" ht="15.6" x14ac:dyDescent="0.25">
      <c r="A7" s="14" t="s">
        <v>25</v>
      </c>
      <c r="B7" s="4" t="s">
        <v>26</v>
      </c>
      <c r="C7" s="4" t="s">
        <v>19</v>
      </c>
      <c r="D7" s="4">
        <v>83</v>
      </c>
      <c r="E7" s="4">
        <v>79</v>
      </c>
      <c r="F7" s="12" t="str">
        <f t="shared" si="0"/>
        <v>1609106008</v>
      </c>
      <c r="G7" s="12">
        <f t="shared" si="1"/>
        <v>10</v>
      </c>
      <c r="H7" s="12" t="str">
        <f t="shared" si="2"/>
        <v>1609</v>
      </c>
      <c r="I7" s="12" t="str">
        <f t="shared" si="3"/>
        <v>008</v>
      </c>
      <c r="J7" s="12" t="str">
        <f t="shared" si="4"/>
        <v>106</v>
      </c>
      <c r="K7" s="16"/>
    </row>
    <row r="8" spans="1:12" ht="15.6" x14ac:dyDescent="0.25">
      <c r="A8" s="14" t="s">
        <v>27</v>
      </c>
      <c r="B8" s="4" t="s">
        <v>28</v>
      </c>
      <c r="C8" s="4" t="s">
        <v>12</v>
      </c>
      <c r="D8" s="4">
        <v>86</v>
      </c>
      <c r="E8" s="4">
        <v>87</v>
      </c>
      <c r="F8" s="12" t="str">
        <f t="shared" si="0"/>
        <v>1609106009</v>
      </c>
      <c r="G8" s="12">
        <f t="shared" si="1"/>
        <v>10</v>
      </c>
      <c r="H8" s="12" t="str">
        <f t="shared" si="2"/>
        <v>1609</v>
      </c>
      <c r="I8" s="12" t="str">
        <f t="shared" si="3"/>
        <v>009</v>
      </c>
      <c r="J8" s="12" t="str">
        <f t="shared" si="4"/>
        <v>106</v>
      </c>
      <c r="K8" s="16"/>
    </row>
    <row r="9" spans="1:12" ht="15.6" x14ac:dyDescent="0.25">
      <c r="A9" s="14" t="s">
        <v>29</v>
      </c>
      <c r="B9" s="4" t="s">
        <v>30</v>
      </c>
      <c r="C9" s="4" t="s">
        <v>12</v>
      </c>
      <c r="D9" s="4">
        <v>86</v>
      </c>
      <c r="E9" s="4">
        <v>96</v>
      </c>
      <c r="F9" s="12" t="str">
        <f t="shared" si="0"/>
        <v>1609106010</v>
      </c>
      <c r="G9" s="12">
        <f t="shared" si="1"/>
        <v>10</v>
      </c>
      <c r="H9" s="12" t="str">
        <f t="shared" si="2"/>
        <v>1609</v>
      </c>
      <c r="I9" s="12" t="str">
        <f t="shared" si="3"/>
        <v>010</v>
      </c>
      <c r="J9" s="12" t="str">
        <f t="shared" si="4"/>
        <v>106</v>
      </c>
      <c r="K9" s="16"/>
    </row>
    <row r="10" spans="1:12" ht="15.6" x14ac:dyDescent="0.25">
      <c r="A10" s="14" t="s">
        <v>31</v>
      </c>
      <c r="B10" s="4" t="s">
        <v>32</v>
      </c>
      <c r="C10" s="4" t="s">
        <v>19</v>
      </c>
      <c r="D10" s="4">
        <v>83</v>
      </c>
      <c r="E10" s="4">
        <v>89</v>
      </c>
      <c r="F10" s="12" t="str">
        <f t="shared" si="0"/>
        <v>1609106011</v>
      </c>
      <c r="G10" s="12">
        <f t="shared" si="1"/>
        <v>10</v>
      </c>
      <c r="H10" s="12" t="str">
        <f t="shared" si="2"/>
        <v>1609</v>
      </c>
      <c r="I10" s="12" t="str">
        <f t="shared" si="3"/>
        <v>011</v>
      </c>
      <c r="J10" s="12" t="str">
        <f t="shared" si="4"/>
        <v>106</v>
      </c>
      <c r="K10" s="16"/>
    </row>
    <row r="11" spans="1:12" ht="15.6" x14ac:dyDescent="0.25">
      <c r="A11" s="14" t="s">
        <v>33</v>
      </c>
      <c r="B11" s="4" t="s">
        <v>34</v>
      </c>
      <c r="C11" s="4" t="s">
        <v>19</v>
      </c>
      <c r="D11" s="4">
        <v>76</v>
      </c>
      <c r="E11" s="4">
        <v>81</v>
      </c>
      <c r="F11" s="12" t="str">
        <f t="shared" si="0"/>
        <v>1609106012</v>
      </c>
      <c r="G11" s="12">
        <f t="shared" si="1"/>
        <v>10</v>
      </c>
      <c r="H11" s="12" t="str">
        <f t="shared" si="2"/>
        <v>1609</v>
      </c>
      <c r="I11" s="12" t="str">
        <f t="shared" si="3"/>
        <v>012</v>
      </c>
      <c r="J11" s="12" t="str">
        <f t="shared" si="4"/>
        <v>106</v>
      </c>
      <c r="K11" s="16"/>
    </row>
    <row r="12" spans="1:12" ht="15.6" x14ac:dyDescent="0.25">
      <c r="A12" s="14" t="s">
        <v>35</v>
      </c>
      <c r="B12" s="4" t="s">
        <v>36</v>
      </c>
      <c r="C12" s="4" t="s">
        <v>12</v>
      </c>
      <c r="D12" s="4">
        <v>81</v>
      </c>
      <c r="E12" s="4">
        <v>70</v>
      </c>
      <c r="F12" s="12" t="str">
        <f t="shared" si="0"/>
        <v>1609106013</v>
      </c>
      <c r="G12" s="12">
        <f t="shared" si="1"/>
        <v>10</v>
      </c>
      <c r="H12" s="12" t="str">
        <f t="shared" si="2"/>
        <v>1609</v>
      </c>
      <c r="I12" s="12" t="str">
        <f t="shared" si="3"/>
        <v>013</v>
      </c>
      <c r="J12" s="12" t="str">
        <f t="shared" si="4"/>
        <v>106</v>
      </c>
      <c r="K12" s="16"/>
    </row>
    <row r="13" spans="1:12" ht="15.6" x14ac:dyDescent="0.25">
      <c r="A13" s="14" t="s">
        <v>37</v>
      </c>
      <c r="B13" s="4" t="s">
        <v>38</v>
      </c>
      <c r="C13" s="4" t="s">
        <v>19</v>
      </c>
      <c r="D13" s="4">
        <v>82</v>
      </c>
      <c r="E13" s="4">
        <v>92</v>
      </c>
      <c r="F13" s="12" t="str">
        <f t="shared" si="0"/>
        <v>1609106014</v>
      </c>
      <c r="G13" s="12">
        <f t="shared" si="1"/>
        <v>10</v>
      </c>
      <c r="H13" s="12" t="str">
        <f t="shared" si="2"/>
        <v>1609</v>
      </c>
      <c r="I13" s="12" t="str">
        <f t="shared" si="3"/>
        <v>014</v>
      </c>
      <c r="J13" s="12" t="str">
        <f t="shared" si="4"/>
        <v>106</v>
      </c>
      <c r="K13" s="16"/>
    </row>
    <row r="14" spans="1:12" ht="15.6" x14ac:dyDescent="0.25">
      <c r="A14" s="14" t="s">
        <v>39</v>
      </c>
      <c r="B14" s="4" t="s">
        <v>40</v>
      </c>
      <c r="C14" s="4" t="s">
        <v>12</v>
      </c>
      <c r="D14" s="4">
        <v>80</v>
      </c>
      <c r="E14" s="4">
        <v>76</v>
      </c>
      <c r="F14" s="12" t="str">
        <f t="shared" si="0"/>
        <v>1609106015</v>
      </c>
      <c r="G14" s="12">
        <f t="shared" si="1"/>
        <v>10</v>
      </c>
      <c r="H14" s="12" t="str">
        <f t="shared" si="2"/>
        <v>1609</v>
      </c>
      <c r="I14" s="12" t="str">
        <f t="shared" si="3"/>
        <v>015</v>
      </c>
      <c r="J14" s="12" t="str">
        <f t="shared" si="4"/>
        <v>106</v>
      </c>
      <c r="K14" s="16"/>
    </row>
    <row r="15" spans="1:12" ht="15.6" x14ac:dyDescent="0.25">
      <c r="A15" s="14" t="s">
        <v>41</v>
      </c>
      <c r="B15" s="4" t="s">
        <v>42</v>
      </c>
      <c r="C15" s="4" t="s">
        <v>12</v>
      </c>
      <c r="D15" s="4">
        <v>79</v>
      </c>
      <c r="E15" s="4">
        <v>84</v>
      </c>
      <c r="F15" s="12" t="str">
        <f t="shared" si="0"/>
        <v>1609106016</v>
      </c>
      <c r="G15" s="12">
        <f t="shared" si="1"/>
        <v>10</v>
      </c>
      <c r="H15" s="12" t="str">
        <f t="shared" si="2"/>
        <v>1609</v>
      </c>
      <c r="I15" s="12" t="str">
        <f t="shared" si="3"/>
        <v>016</v>
      </c>
      <c r="J15" s="12" t="str">
        <f t="shared" si="4"/>
        <v>106</v>
      </c>
      <c r="K15" s="16"/>
    </row>
    <row r="16" spans="1:12" ht="15.6" x14ac:dyDescent="0.25">
      <c r="A16" s="14" t="s">
        <v>43</v>
      </c>
      <c r="B16" s="4" t="s">
        <v>44</v>
      </c>
      <c r="C16" s="4" t="s">
        <v>19</v>
      </c>
      <c r="D16" s="4">
        <v>79</v>
      </c>
      <c r="E16" s="4">
        <v>80</v>
      </c>
      <c r="F16" s="12" t="str">
        <f t="shared" si="0"/>
        <v>1609106017</v>
      </c>
      <c r="G16" s="12">
        <f t="shared" si="1"/>
        <v>10</v>
      </c>
      <c r="H16" s="12" t="str">
        <f t="shared" si="2"/>
        <v>1609</v>
      </c>
      <c r="I16" s="12" t="str">
        <f t="shared" si="3"/>
        <v>017</v>
      </c>
      <c r="J16" s="12" t="str">
        <f t="shared" si="4"/>
        <v>106</v>
      </c>
      <c r="K16" s="16"/>
    </row>
    <row r="17" spans="1:11" ht="15.6" x14ac:dyDescent="0.25">
      <c r="A17" s="14" t="s">
        <v>45</v>
      </c>
      <c r="B17" s="4" t="s">
        <v>46</v>
      </c>
      <c r="C17" s="4" t="s">
        <v>12</v>
      </c>
      <c r="D17" s="4">
        <v>80</v>
      </c>
      <c r="E17" s="4">
        <v>76</v>
      </c>
      <c r="F17" s="12" t="str">
        <f t="shared" si="0"/>
        <v>1609106018</v>
      </c>
      <c r="G17" s="12">
        <f t="shared" si="1"/>
        <v>10</v>
      </c>
      <c r="H17" s="12" t="str">
        <f t="shared" si="2"/>
        <v>1609</v>
      </c>
      <c r="I17" s="12" t="str">
        <f t="shared" si="3"/>
        <v>018</v>
      </c>
      <c r="J17" s="12" t="str">
        <f t="shared" si="4"/>
        <v>106</v>
      </c>
      <c r="K17" s="16"/>
    </row>
    <row r="18" spans="1:11" ht="15.6" x14ac:dyDescent="0.25">
      <c r="A18" s="14" t="s">
        <v>47</v>
      </c>
      <c r="B18" s="4" t="s">
        <v>48</v>
      </c>
      <c r="C18" s="4" t="s">
        <v>12</v>
      </c>
      <c r="D18" s="4">
        <v>85</v>
      </c>
      <c r="E18" s="4">
        <v>79</v>
      </c>
      <c r="F18" s="12" t="str">
        <f t="shared" si="0"/>
        <v>1609106019</v>
      </c>
      <c r="G18" s="12">
        <f t="shared" si="1"/>
        <v>10</v>
      </c>
      <c r="H18" s="12" t="str">
        <f t="shared" si="2"/>
        <v>1609</v>
      </c>
      <c r="I18" s="12" t="str">
        <f t="shared" si="3"/>
        <v>019</v>
      </c>
      <c r="J18" s="12" t="str">
        <f t="shared" si="4"/>
        <v>106</v>
      </c>
      <c r="K18" s="16"/>
    </row>
    <row r="19" spans="1:11" ht="15.6" x14ac:dyDescent="0.25">
      <c r="A19" s="14" t="s">
        <v>49</v>
      </c>
      <c r="B19" s="4" t="s">
        <v>50</v>
      </c>
      <c r="C19" s="4" t="s">
        <v>12</v>
      </c>
      <c r="D19" s="4">
        <v>83</v>
      </c>
      <c r="E19" s="4">
        <v>82</v>
      </c>
      <c r="F19" s="12" t="str">
        <f t="shared" si="0"/>
        <v>1609106020</v>
      </c>
      <c r="G19" s="12">
        <f t="shared" si="1"/>
        <v>10</v>
      </c>
      <c r="H19" s="12" t="str">
        <f t="shared" si="2"/>
        <v>1609</v>
      </c>
      <c r="I19" s="12" t="str">
        <f t="shared" si="3"/>
        <v>020</v>
      </c>
      <c r="J19" s="12" t="str">
        <f t="shared" si="4"/>
        <v>106</v>
      </c>
      <c r="K19" s="16"/>
    </row>
    <row r="20" spans="1:11" ht="15.6" x14ac:dyDescent="0.25">
      <c r="A20" s="14" t="s">
        <v>51</v>
      </c>
      <c r="B20" s="4" t="s">
        <v>52</v>
      </c>
      <c r="C20" s="4" t="s">
        <v>19</v>
      </c>
      <c r="D20" s="4">
        <v>82</v>
      </c>
      <c r="E20" s="4">
        <v>79</v>
      </c>
      <c r="F20" s="12" t="str">
        <f t="shared" si="0"/>
        <v>1609106021</v>
      </c>
      <c r="G20" s="12">
        <f t="shared" si="1"/>
        <v>10</v>
      </c>
      <c r="H20" s="12" t="str">
        <f t="shared" si="2"/>
        <v>1609</v>
      </c>
      <c r="I20" s="12" t="str">
        <f t="shared" si="3"/>
        <v>021</v>
      </c>
      <c r="J20" s="12" t="str">
        <f t="shared" si="4"/>
        <v>106</v>
      </c>
      <c r="K20" s="16"/>
    </row>
    <row r="21" spans="1:11" ht="15.6" x14ac:dyDescent="0.25">
      <c r="A21" s="14" t="s">
        <v>53</v>
      </c>
      <c r="B21" s="4" t="s">
        <v>54</v>
      </c>
      <c r="C21" s="4" t="s">
        <v>12</v>
      </c>
      <c r="D21" s="4">
        <v>85</v>
      </c>
      <c r="E21" s="4">
        <v>86</v>
      </c>
      <c r="F21" s="12" t="str">
        <f t="shared" si="0"/>
        <v>1609106022</v>
      </c>
      <c r="G21" s="12">
        <f t="shared" si="1"/>
        <v>10</v>
      </c>
      <c r="H21" s="12" t="str">
        <f t="shared" si="2"/>
        <v>1609</v>
      </c>
      <c r="I21" s="12" t="str">
        <f t="shared" si="3"/>
        <v>022</v>
      </c>
      <c r="J21" s="12" t="str">
        <f t="shared" si="4"/>
        <v>106</v>
      </c>
      <c r="K21" s="16"/>
    </row>
    <row r="22" spans="1:11" ht="15.6" x14ac:dyDescent="0.25">
      <c r="A22" s="14" t="s">
        <v>55</v>
      </c>
      <c r="B22" s="4" t="s">
        <v>56</v>
      </c>
      <c r="C22" s="4" t="s">
        <v>12</v>
      </c>
      <c r="D22" s="4">
        <v>80</v>
      </c>
      <c r="E22" s="4">
        <v>85</v>
      </c>
      <c r="F22" s="12" t="str">
        <f t="shared" si="0"/>
        <v>1609106023</v>
      </c>
      <c r="G22" s="12">
        <f t="shared" si="1"/>
        <v>10</v>
      </c>
      <c r="H22" s="12" t="str">
        <f t="shared" si="2"/>
        <v>1609</v>
      </c>
      <c r="I22" s="12" t="str">
        <f t="shared" si="3"/>
        <v>023</v>
      </c>
      <c r="J22" s="12" t="str">
        <f t="shared" si="4"/>
        <v>106</v>
      </c>
      <c r="K22" s="16"/>
    </row>
    <row r="23" spans="1:11" ht="15.6" x14ac:dyDescent="0.25">
      <c r="A23" s="14" t="s">
        <v>57</v>
      </c>
      <c r="B23" s="4" t="s">
        <v>58</v>
      </c>
      <c r="C23" s="4" t="s">
        <v>12</v>
      </c>
      <c r="D23" s="4">
        <v>89</v>
      </c>
      <c r="E23" s="4">
        <v>74</v>
      </c>
      <c r="F23" s="12" t="str">
        <f t="shared" si="0"/>
        <v>1609106024</v>
      </c>
      <c r="G23" s="12">
        <f t="shared" si="1"/>
        <v>10</v>
      </c>
      <c r="H23" s="12" t="str">
        <f t="shared" si="2"/>
        <v>1609</v>
      </c>
      <c r="I23" s="12" t="str">
        <f t="shared" si="3"/>
        <v>024</v>
      </c>
      <c r="J23" s="12" t="str">
        <f t="shared" si="4"/>
        <v>106</v>
      </c>
      <c r="K23" s="16"/>
    </row>
    <row r="24" spans="1:11" ht="15.6" x14ac:dyDescent="0.25">
      <c r="A24" s="14" t="s">
        <v>59</v>
      </c>
      <c r="B24" s="4" t="s">
        <v>60</v>
      </c>
      <c r="C24" s="4" t="s">
        <v>12</v>
      </c>
      <c r="D24" s="4">
        <v>85</v>
      </c>
      <c r="E24" s="4">
        <v>84</v>
      </c>
      <c r="F24" s="12" t="str">
        <f t="shared" si="0"/>
        <v>1609106025</v>
      </c>
      <c r="G24" s="12">
        <f t="shared" si="1"/>
        <v>10</v>
      </c>
      <c r="H24" s="12" t="str">
        <f t="shared" si="2"/>
        <v>1609</v>
      </c>
      <c r="I24" s="12" t="str">
        <f t="shared" si="3"/>
        <v>025</v>
      </c>
      <c r="J24" s="12" t="str">
        <f t="shared" si="4"/>
        <v>106</v>
      </c>
      <c r="K24" s="16"/>
    </row>
    <row r="25" spans="1:11" ht="15.6" x14ac:dyDescent="0.25">
      <c r="A25" s="14" t="s">
        <v>61</v>
      </c>
      <c r="B25" s="4" t="s">
        <v>62</v>
      </c>
      <c r="C25" s="4" t="s">
        <v>12</v>
      </c>
      <c r="D25" s="4">
        <v>82</v>
      </c>
      <c r="E25" s="4">
        <v>87</v>
      </c>
      <c r="F25" s="12" t="str">
        <f t="shared" si="0"/>
        <v>1609106026</v>
      </c>
      <c r="G25" s="12">
        <f t="shared" si="1"/>
        <v>10</v>
      </c>
      <c r="H25" s="12" t="str">
        <f t="shared" si="2"/>
        <v>1609</v>
      </c>
      <c r="I25" s="12" t="str">
        <f t="shared" si="3"/>
        <v>026</v>
      </c>
      <c r="J25" s="12" t="str">
        <f t="shared" si="4"/>
        <v>106</v>
      </c>
      <c r="K25" s="16"/>
    </row>
    <row r="26" spans="1:11" ht="15.6" x14ac:dyDescent="0.25">
      <c r="A26" s="14" t="s">
        <v>63</v>
      </c>
      <c r="B26" s="4" t="s">
        <v>64</v>
      </c>
      <c r="C26" s="4" t="s">
        <v>12</v>
      </c>
      <c r="D26" s="4">
        <v>79</v>
      </c>
      <c r="E26" s="4">
        <v>80</v>
      </c>
      <c r="F26" s="12" t="str">
        <f t="shared" si="0"/>
        <v>1609106027</v>
      </c>
      <c r="G26" s="12">
        <f t="shared" si="1"/>
        <v>10</v>
      </c>
      <c r="H26" s="12" t="str">
        <f t="shared" si="2"/>
        <v>1609</v>
      </c>
      <c r="I26" s="12" t="str">
        <f t="shared" si="3"/>
        <v>027</v>
      </c>
      <c r="J26" s="12" t="str">
        <f t="shared" si="4"/>
        <v>106</v>
      </c>
      <c r="K26" s="16"/>
    </row>
    <row r="27" spans="1:11" ht="15.6" x14ac:dyDescent="0.25">
      <c r="A27" s="14" t="s">
        <v>65</v>
      </c>
      <c r="B27" s="4" t="s">
        <v>66</v>
      </c>
      <c r="C27" s="4" t="s">
        <v>12</v>
      </c>
      <c r="D27" s="4">
        <v>80</v>
      </c>
      <c r="E27" s="4">
        <v>76</v>
      </c>
      <c r="F27" s="12" t="str">
        <f t="shared" si="0"/>
        <v>1609106028</v>
      </c>
      <c r="G27" s="12">
        <f t="shared" si="1"/>
        <v>10</v>
      </c>
      <c r="H27" s="12" t="str">
        <f t="shared" si="2"/>
        <v>1609</v>
      </c>
      <c r="I27" s="12" t="str">
        <f t="shared" si="3"/>
        <v>028</v>
      </c>
      <c r="J27" s="12" t="str">
        <f t="shared" si="4"/>
        <v>106</v>
      </c>
      <c r="K27" s="16"/>
    </row>
    <row r="28" spans="1:11" ht="15.6" x14ac:dyDescent="0.25">
      <c r="A28" s="14" t="s">
        <v>67</v>
      </c>
      <c r="B28" s="4" t="s">
        <v>68</v>
      </c>
      <c r="C28" s="4" t="s">
        <v>12</v>
      </c>
      <c r="D28" s="4">
        <v>85</v>
      </c>
      <c r="E28" s="4">
        <v>79</v>
      </c>
      <c r="F28" s="12" t="str">
        <f t="shared" si="0"/>
        <v>1609106029</v>
      </c>
      <c r="G28" s="12">
        <f t="shared" si="1"/>
        <v>10</v>
      </c>
      <c r="H28" s="12" t="str">
        <f t="shared" si="2"/>
        <v>1609</v>
      </c>
      <c r="I28" s="12" t="str">
        <f t="shared" si="3"/>
        <v>029</v>
      </c>
      <c r="J28" s="12" t="str">
        <f t="shared" si="4"/>
        <v>106</v>
      </c>
      <c r="K28" s="16"/>
    </row>
    <row r="29" spans="1:11" ht="15.6" x14ac:dyDescent="0.25">
      <c r="A29" s="14" t="s">
        <v>69</v>
      </c>
      <c r="B29" s="4" t="s">
        <v>70</v>
      </c>
      <c r="C29" s="4" t="s">
        <v>12</v>
      </c>
      <c r="D29" s="4">
        <v>83</v>
      </c>
      <c r="E29" s="4">
        <v>82</v>
      </c>
      <c r="F29" s="12" t="str">
        <f t="shared" si="0"/>
        <v>1609106030</v>
      </c>
      <c r="G29" s="12">
        <f t="shared" si="1"/>
        <v>10</v>
      </c>
      <c r="H29" s="12" t="str">
        <f t="shared" si="2"/>
        <v>1609</v>
      </c>
      <c r="I29" s="12" t="str">
        <f t="shared" si="3"/>
        <v>030</v>
      </c>
      <c r="J29" s="12" t="str">
        <f t="shared" si="4"/>
        <v>106</v>
      </c>
      <c r="K29" s="16"/>
    </row>
    <row r="30" spans="1:11" ht="15.6" x14ac:dyDescent="0.25">
      <c r="A30" s="14" t="s">
        <v>71</v>
      </c>
      <c r="B30" s="4" t="s">
        <v>72</v>
      </c>
      <c r="C30" s="4" t="s">
        <v>12</v>
      </c>
      <c r="D30" s="4">
        <v>82</v>
      </c>
      <c r="E30" s="4">
        <v>79</v>
      </c>
      <c r="F30" s="12" t="str">
        <f t="shared" si="0"/>
        <v>1609106031</v>
      </c>
      <c r="G30" s="12">
        <f t="shared" si="1"/>
        <v>10</v>
      </c>
      <c r="H30" s="12" t="str">
        <f t="shared" si="2"/>
        <v>1609</v>
      </c>
      <c r="I30" s="12" t="str">
        <f t="shared" si="3"/>
        <v>031</v>
      </c>
      <c r="J30" s="12" t="str">
        <f t="shared" si="4"/>
        <v>106</v>
      </c>
      <c r="K30" s="16"/>
    </row>
    <row r="31" spans="1:11" ht="15.6" x14ac:dyDescent="0.25">
      <c r="A31" s="14" t="s">
        <v>73</v>
      </c>
      <c r="B31" s="4" t="s">
        <v>74</v>
      </c>
      <c r="C31" s="4" t="s">
        <v>12</v>
      </c>
      <c r="D31" s="4">
        <v>85</v>
      </c>
      <c r="E31" s="4">
        <v>86</v>
      </c>
      <c r="F31" s="12" t="str">
        <f t="shared" si="0"/>
        <v>1609106032</v>
      </c>
      <c r="G31" s="12">
        <f t="shared" si="1"/>
        <v>10</v>
      </c>
      <c r="H31" s="12" t="str">
        <f t="shared" si="2"/>
        <v>1609</v>
      </c>
      <c r="I31" s="12" t="str">
        <f t="shared" si="3"/>
        <v>032</v>
      </c>
      <c r="J31" s="12" t="str">
        <f t="shared" si="4"/>
        <v>106</v>
      </c>
      <c r="K31" s="16"/>
    </row>
    <row r="32" spans="1:11" ht="15.6" x14ac:dyDescent="0.25">
      <c r="A32" s="14" t="s">
        <v>75</v>
      </c>
      <c r="B32" s="4" t="s">
        <v>76</v>
      </c>
      <c r="C32" s="4" t="s">
        <v>12</v>
      </c>
      <c r="D32" s="15">
        <v>45</v>
      </c>
      <c r="E32" s="15">
        <v>45</v>
      </c>
      <c r="F32" s="12" t="str">
        <f t="shared" si="0"/>
        <v>1609106033</v>
      </c>
      <c r="G32" s="12">
        <f t="shared" si="1"/>
        <v>10</v>
      </c>
      <c r="H32" s="12" t="str">
        <f t="shared" si="2"/>
        <v>1609</v>
      </c>
      <c r="I32" s="12" t="str">
        <f t="shared" si="3"/>
        <v>033</v>
      </c>
      <c r="J32" s="12" t="str">
        <f t="shared" si="4"/>
        <v>106</v>
      </c>
      <c r="K32" s="16"/>
    </row>
  </sheetData>
  <autoFilter ref="A1:L32" xr:uid="{00000000-0009-0000-0000-000000000000}"/>
  <phoneticPr fontId="8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2"/>
  <sheetViews>
    <sheetView zoomScale="70" zoomScaleNormal="70" workbookViewId="0">
      <selection activeCell="A2" sqref="A2"/>
    </sheetView>
  </sheetViews>
  <sheetFormatPr defaultColWidth="8.88671875" defaultRowHeight="14.4" x14ac:dyDescent="0.25"/>
  <cols>
    <col min="1" max="1" width="21.33203125" customWidth="1"/>
    <col min="2" max="2" width="10.88671875" customWidth="1"/>
    <col min="4" max="5" width="11.109375" customWidth="1"/>
    <col min="6" max="6" width="12.77734375" customWidth="1"/>
    <col min="7" max="7" width="18.6640625" customWidth="1"/>
    <col min="8" max="8" width="12.21875" customWidth="1"/>
    <col min="9" max="9" width="9.88671875" customWidth="1"/>
    <col min="10" max="10" width="13.6640625" customWidth="1"/>
    <col min="11" max="11" width="11.21875" customWidth="1"/>
    <col min="12" max="12" width="12.33203125" customWidth="1"/>
    <col min="14" max="14" width="13.5546875" customWidth="1"/>
    <col min="15" max="15" width="14.33203125" customWidth="1"/>
  </cols>
  <sheetData>
    <row r="1" spans="1:15" ht="24" customHeight="1" x14ac:dyDescent="0.25">
      <c r="A1" s="10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82</v>
      </c>
      <c r="L1" s="12"/>
    </row>
    <row r="2" spans="1:15" ht="15.6" x14ac:dyDescent="0.25">
      <c r="A2" s="12" t="str">
        <f>VLOOKUP(B2,Sheet1!B:F,5,FALSE)</f>
        <v>1609106033</v>
      </c>
      <c r="B2" s="4" t="s">
        <v>76</v>
      </c>
      <c r="C2" s="4" t="s">
        <v>12</v>
      </c>
      <c r="D2" s="4">
        <v>45</v>
      </c>
      <c r="E2" s="4">
        <v>46</v>
      </c>
      <c r="F2" s="12">
        <f>(D2+E2)/2</f>
        <v>45.5</v>
      </c>
      <c r="G2" s="12">
        <f t="shared" ref="G2:G32" si="0">ROUND(F2,0)</f>
        <v>46</v>
      </c>
      <c r="H2" s="12" t="str">
        <f>IF(F2&gt;90,"A",IF(F2&gt;80,"B",IF(F2&gt;70,"C",IF(F2&gt;60,"D","E"))))</f>
        <v>E</v>
      </c>
      <c r="I2" s="12">
        <f>RANK(F2,F:F,0)</f>
        <v>31</v>
      </c>
      <c r="J2" s="12">
        <f>COUNTIF(F:F,F2)</f>
        <v>1</v>
      </c>
      <c r="K2" s="12" t="str">
        <f>IF(F2&gt;60,"是","否")</f>
        <v>否</v>
      </c>
      <c r="L2" s="12"/>
      <c r="N2" s="13" t="s">
        <v>83</v>
      </c>
      <c r="O2" s="12">
        <f>MAX(F2:F32)</f>
        <v>91</v>
      </c>
    </row>
    <row r="3" spans="1:15" ht="15.6" x14ac:dyDescent="0.25">
      <c r="A3" s="12" t="str">
        <f>VLOOKUP(B3,Sheet1!B:F,5,FALSE)</f>
        <v>1609106003</v>
      </c>
      <c r="B3" s="4" t="s">
        <v>11</v>
      </c>
      <c r="C3" s="4" t="s">
        <v>12</v>
      </c>
      <c r="D3" s="4">
        <v>81</v>
      </c>
      <c r="E3" s="4">
        <v>82</v>
      </c>
      <c r="F3" s="12">
        <f t="shared" ref="F2:F32" si="1">(D3+E3)/2</f>
        <v>81.5</v>
      </c>
      <c r="G3" s="12">
        <f t="shared" si="0"/>
        <v>82</v>
      </c>
      <c r="H3" s="12" t="str">
        <f t="shared" ref="H3:H32" si="2">IF(F3&gt;90,"A",IF(F3&gt;80,"B",IF(F3&gt;70,"C",IF(F3&gt;60,"D","E"))))</f>
        <v>B</v>
      </c>
      <c r="I3" s="12">
        <f t="shared" ref="I3:I32" si="3">RANK(F3,F:F,0)</f>
        <v>18</v>
      </c>
      <c r="J3" s="12">
        <f t="shared" ref="J3:J32" si="4">COUNTIF(F:F,F3)</f>
        <v>3</v>
      </c>
      <c r="K3" s="12" t="str">
        <f t="shared" ref="K3:K32" si="5">IF(F3&gt;60,"是","否")</f>
        <v>是</v>
      </c>
      <c r="L3" s="12"/>
      <c r="N3" s="13" t="s">
        <v>84</v>
      </c>
      <c r="O3" s="12">
        <f>AVERAGE(F2:F32)</f>
        <v>81.306451612903231</v>
      </c>
    </row>
    <row r="4" spans="1:15" ht="15.6" x14ac:dyDescent="0.25">
      <c r="A4" s="12" t="str">
        <f>VLOOKUP(B4,Sheet1!B:F,5,FALSE)</f>
        <v>1609106025</v>
      </c>
      <c r="B4" s="4" t="s">
        <v>60</v>
      </c>
      <c r="C4" s="4" t="s">
        <v>12</v>
      </c>
      <c r="D4" s="4">
        <v>85</v>
      </c>
      <c r="E4" s="4">
        <v>84</v>
      </c>
      <c r="F4" s="12">
        <f t="shared" si="1"/>
        <v>84.5</v>
      </c>
      <c r="G4" s="12">
        <f t="shared" si="0"/>
        <v>85</v>
      </c>
      <c r="H4" s="12" t="str">
        <f t="shared" si="2"/>
        <v>B</v>
      </c>
      <c r="I4" s="12">
        <f t="shared" si="3"/>
        <v>8</v>
      </c>
      <c r="J4" s="12">
        <f t="shared" si="4"/>
        <v>3</v>
      </c>
      <c r="K4" s="12" t="str">
        <f t="shared" si="5"/>
        <v>是</v>
      </c>
      <c r="L4" s="12"/>
    </row>
    <row r="5" spans="1:15" ht="15.6" x14ac:dyDescent="0.25">
      <c r="A5" s="12" t="str">
        <f>VLOOKUP(B5,Sheet1!B:F,5,FALSE)</f>
        <v>1609106026</v>
      </c>
      <c r="B5" s="4" t="s">
        <v>62</v>
      </c>
      <c r="C5" s="4" t="s">
        <v>12</v>
      </c>
      <c r="D5" s="4">
        <v>82</v>
      </c>
      <c r="E5" s="4">
        <v>87</v>
      </c>
      <c r="F5" s="12">
        <f t="shared" si="1"/>
        <v>84.5</v>
      </c>
      <c r="G5" s="12">
        <f t="shared" si="0"/>
        <v>85</v>
      </c>
      <c r="H5" s="12" t="str">
        <f t="shared" si="2"/>
        <v>B</v>
      </c>
      <c r="I5" s="12">
        <f t="shared" si="3"/>
        <v>8</v>
      </c>
      <c r="J5" s="12">
        <f t="shared" si="4"/>
        <v>3</v>
      </c>
      <c r="K5" s="12" t="str">
        <f t="shared" si="5"/>
        <v>是</v>
      </c>
      <c r="L5" s="12"/>
    </row>
    <row r="6" spans="1:15" ht="15.6" x14ac:dyDescent="0.25">
      <c r="A6" s="12" t="str">
        <f>VLOOKUP(B6,Sheet1!B:F,5,FALSE)</f>
        <v>1609106018</v>
      </c>
      <c r="B6" s="4" t="s">
        <v>46</v>
      </c>
      <c r="C6" s="4" t="s">
        <v>12</v>
      </c>
      <c r="D6" s="4">
        <v>80</v>
      </c>
      <c r="E6" s="4">
        <v>76</v>
      </c>
      <c r="F6" s="12">
        <f t="shared" si="1"/>
        <v>78</v>
      </c>
      <c r="G6" s="12">
        <f t="shared" si="0"/>
        <v>78</v>
      </c>
      <c r="H6" s="12" t="str">
        <f t="shared" si="2"/>
        <v>C</v>
      </c>
      <c r="I6" s="12">
        <f t="shared" si="3"/>
        <v>27</v>
      </c>
      <c r="J6" s="12">
        <f t="shared" si="4"/>
        <v>3</v>
      </c>
      <c r="K6" s="12" t="str">
        <f t="shared" si="5"/>
        <v>是</v>
      </c>
      <c r="L6" s="12"/>
    </row>
    <row r="7" spans="1:15" ht="15.6" x14ac:dyDescent="0.25">
      <c r="A7" s="12" t="str">
        <f>VLOOKUP(B7,Sheet1!B:F,5,FALSE)</f>
        <v>1609106013</v>
      </c>
      <c r="B7" s="4" t="s">
        <v>36</v>
      </c>
      <c r="C7" s="4" t="s">
        <v>12</v>
      </c>
      <c r="D7" s="4">
        <v>81</v>
      </c>
      <c r="E7" s="4">
        <v>70</v>
      </c>
      <c r="F7" s="12">
        <f t="shared" si="1"/>
        <v>75.5</v>
      </c>
      <c r="G7" s="12">
        <f>ROUND(F7,0)</f>
        <v>76</v>
      </c>
      <c r="H7" s="12" t="str">
        <f t="shared" si="2"/>
        <v>C</v>
      </c>
      <c r="I7" s="12">
        <f t="shared" si="3"/>
        <v>30</v>
      </c>
      <c r="J7" s="12">
        <f t="shared" si="4"/>
        <v>1</v>
      </c>
      <c r="K7" s="12" t="str">
        <f t="shared" si="5"/>
        <v>是</v>
      </c>
      <c r="L7" s="12"/>
    </row>
    <row r="8" spans="1:15" ht="15.6" x14ac:dyDescent="0.25">
      <c r="A8" s="12" t="str">
        <f>VLOOKUP(B8,Sheet1!B:F,5,FALSE)</f>
        <v>1609106005</v>
      </c>
      <c r="B8" s="4" t="s">
        <v>18</v>
      </c>
      <c r="C8" s="4" t="s">
        <v>19</v>
      </c>
      <c r="D8" s="4">
        <v>85</v>
      </c>
      <c r="E8" s="4">
        <v>94</v>
      </c>
      <c r="F8" s="12">
        <f t="shared" si="1"/>
        <v>89.5</v>
      </c>
      <c r="G8" s="12">
        <f t="shared" si="0"/>
        <v>90</v>
      </c>
      <c r="H8" s="12" t="str">
        <f t="shared" si="2"/>
        <v>B</v>
      </c>
      <c r="I8" s="12">
        <f t="shared" si="3"/>
        <v>2</v>
      </c>
      <c r="J8" s="12">
        <f t="shared" si="4"/>
        <v>1</v>
      </c>
      <c r="K8" s="12" t="str">
        <f t="shared" si="5"/>
        <v>是</v>
      </c>
      <c r="L8" s="12"/>
    </row>
    <row r="9" spans="1:15" ht="15.6" x14ac:dyDescent="0.25">
      <c r="A9" s="12" t="str">
        <f>VLOOKUP(B9,Sheet1!B:F,5,FALSE)</f>
        <v>1609106028</v>
      </c>
      <c r="B9" s="4" t="s">
        <v>66</v>
      </c>
      <c r="C9" s="4" t="s">
        <v>12</v>
      </c>
      <c r="D9" s="4">
        <v>80</v>
      </c>
      <c r="E9" s="4">
        <v>76</v>
      </c>
      <c r="F9" s="12">
        <f t="shared" si="1"/>
        <v>78</v>
      </c>
      <c r="G9" s="12">
        <f t="shared" si="0"/>
        <v>78</v>
      </c>
      <c r="H9" s="12" t="str">
        <f t="shared" si="2"/>
        <v>C</v>
      </c>
      <c r="I9" s="12">
        <f t="shared" si="3"/>
        <v>27</v>
      </c>
      <c r="J9" s="12">
        <f t="shared" si="4"/>
        <v>3</v>
      </c>
      <c r="K9" s="12" t="str">
        <f t="shared" si="5"/>
        <v>是</v>
      </c>
      <c r="L9" s="12"/>
    </row>
    <row r="10" spans="1:15" ht="15.6" x14ac:dyDescent="0.25">
      <c r="A10" s="12" t="str">
        <f>VLOOKUP(B10,Sheet1!B:F,5,FALSE)</f>
        <v>1609106014</v>
      </c>
      <c r="B10" s="4" t="s">
        <v>38</v>
      </c>
      <c r="C10" s="4" t="s">
        <v>19</v>
      </c>
      <c r="D10" s="4">
        <v>82</v>
      </c>
      <c r="E10" s="4">
        <v>92</v>
      </c>
      <c r="F10" s="12">
        <f t="shared" si="1"/>
        <v>87</v>
      </c>
      <c r="G10" s="12">
        <f t="shared" si="0"/>
        <v>87</v>
      </c>
      <c r="H10" s="12" t="str">
        <f t="shared" si="2"/>
        <v>B</v>
      </c>
      <c r="I10" s="12">
        <f t="shared" si="3"/>
        <v>3</v>
      </c>
      <c r="J10" s="12">
        <f t="shared" si="4"/>
        <v>1</v>
      </c>
      <c r="K10" s="12" t="str">
        <f t="shared" si="5"/>
        <v>是</v>
      </c>
      <c r="L10" s="12"/>
    </row>
    <row r="11" spans="1:15" ht="15.6" x14ac:dyDescent="0.25">
      <c r="A11" s="12" t="str">
        <f>VLOOKUP(B11,Sheet1!B:F,5,FALSE)</f>
        <v>1609106032</v>
      </c>
      <c r="B11" s="4" t="s">
        <v>74</v>
      </c>
      <c r="C11" s="4" t="s">
        <v>12</v>
      </c>
      <c r="D11" s="4">
        <v>85</v>
      </c>
      <c r="E11" s="4">
        <v>86</v>
      </c>
      <c r="F11" s="12">
        <f t="shared" si="1"/>
        <v>85.5</v>
      </c>
      <c r="G11" s="12">
        <f t="shared" si="0"/>
        <v>86</v>
      </c>
      <c r="H11" s="12" t="str">
        <f t="shared" si="2"/>
        <v>B</v>
      </c>
      <c r="I11" s="12">
        <f t="shared" si="3"/>
        <v>6</v>
      </c>
      <c r="J11" s="12">
        <f t="shared" si="4"/>
        <v>2</v>
      </c>
      <c r="K11" s="12" t="str">
        <f t="shared" si="5"/>
        <v>是</v>
      </c>
      <c r="L11" s="12"/>
    </row>
    <row r="12" spans="1:15" ht="15.6" x14ac:dyDescent="0.25">
      <c r="A12" s="12" t="str">
        <f>VLOOKUP(B12,Sheet1!B:F,5,FALSE)</f>
        <v>1609106029</v>
      </c>
      <c r="B12" s="4" t="s">
        <v>68</v>
      </c>
      <c r="C12" s="4" t="s">
        <v>12</v>
      </c>
      <c r="D12" s="4">
        <v>85</v>
      </c>
      <c r="E12" s="4">
        <v>79</v>
      </c>
      <c r="F12" s="12">
        <f t="shared" si="1"/>
        <v>82</v>
      </c>
      <c r="G12" s="12">
        <f t="shared" si="0"/>
        <v>82</v>
      </c>
      <c r="H12" s="12" t="str">
        <f t="shared" si="2"/>
        <v>B</v>
      </c>
      <c r="I12" s="12">
        <f t="shared" si="3"/>
        <v>15</v>
      </c>
      <c r="J12" s="12">
        <f t="shared" si="4"/>
        <v>3</v>
      </c>
      <c r="K12" s="12" t="str">
        <f t="shared" si="5"/>
        <v>是</v>
      </c>
      <c r="L12" s="12"/>
    </row>
    <row r="13" spans="1:15" ht="15.6" x14ac:dyDescent="0.25">
      <c r="A13" s="12" t="str">
        <f>VLOOKUP(B13,Sheet1!B:F,5,FALSE)</f>
        <v>1609106027</v>
      </c>
      <c r="B13" s="4" t="s">
        <v>64</v>
      </c>
      <c r="C13" s="4" t="s">
        <v>12</v>
      </c>
      <c r="D13" s="4">
        <v>79</v>
      </c>
      <c r="E13" s="4">
        <v>80</v>
      </c>
      <c r="F13" s="12">
        <f>(D13+E13)/2</f>
        <v>79.5</v>
      </c>
      <c r="G13" s="12">
        <f t="shared" si="0"/>
        <v>80</v>
      </c>
      <c r="H13" s="12" t="str">
        <f t="shared" si="2"/>
        <v>C</v>
      </c>
      <c r="I13" s="12">
        <f t="shared" si="3"/>
        <v>24</v>
      </c>
      <c r="J13" s="12">
        <f t="shared" si="4"/>
        <v>2</v>
      </c>
      <c r="K13" s="12" t="str">
        <f t="shared" si="5"/>
        <v>是</v>
      </c>
      <c r="L13" s="12"/>
    </row>
    <row r="14" spans="1:15" ht="15.6" x14ac:dyDescent="0.25">
      <c r="A14" s="12" t="str">
        <f>VLOOKUP(B14,Sheet1!B:F,5,FALSE)</f>
        <v>1609106019</v>
      </c>
      <c r="B14" s="4" t="s">
        <v>48</v>
      </c>
      <c r="C14" s="4" t="s">
        <v>12</v>
      </c>
      <c r="D14" s="4">
        <v>85</v>
      </c>
      <c r="E14" s="4">
        <v>79</v>
      </c>
      <c r="F14" s="12">
        <f t="shared" si="1"/>
        <v>82</v>
      </c>
      <c r="G14" s="12">
        <f t="shared" si="0"/>
        <v>82</v>
      </c>
      <c r="H14" s="12" t="str">
        <f t="shared" si="2"/>
        <v>B</v>
      </c>
      <c r="I14" s="12">
        <f t="shared" si="3"/>
        <v>15</v>
      </c>
      <c r="J14" s="12">
        <f t="shared" si="4"/>
        <v>3</v>
      </c>
      <c r="K14" s="12" t="str">
        <f t="shared" si="5"/>
        <v>是</v>
      </c>
      <c r="L14" s="12"/>
    </row>
    <row r="15" spans="1:15" ht="15.6" x14ac:dyDescent="0.25">
      <c r="A15" s="12" t="str">
        <f>VLOOKUP(B15,Sheet1!B:F,5,FALSE)</f>
        <v>1609106006</v>
      </c>
      <c r="B15" s="4" t="s">
        <v>22</v>
      </c>
      <c r="C15" s="4" t="s">
        <v>12</v>
      </c>
      <c r="D15" s="4">
        <v>82</v>
      </c>
      <c r="E15" s="4">
        <v>82</v>
      </c>
      <c r="F15" s="12">
        <f t="shared" si="1"/>
        <v>82</v>
      </c>
      <c r="G15" s="12">
        <f t="shared" si="0"/>
        <v>82</v>
      </c>
      <c r="H15" s="12" t="str">
        <f t="shared" si="2"/>
        <v>B</v>
      </c>
      <c r="I15" s="12">
        <f t="shared" si="3"/>
        <v>15</v>
      </c>
      <c r="J15" s="12">
        <f t="shared" si="4"/>
        <v>3</v>
      </c>
      <c r="K15" s="12" t="str">
        <f t="shared" si="5"/>
        <v>是</v>
      </c>
      <c r="L15" s="12"/>
    </row>
    <row r="16" spans="1:15" ht="15.6" x14ac:dyDescent="0.25">
      <c r="A16" s="12" t="str">
        <f>VLOOKUP(B16,Sheet1!B:F,5,FALSE)</f>
        <v>1609106022</v>
      </c>
      <c r="B16" s="4" t="s">
        <v>54</v>
      </c>
      <c r="C16" s="4" t="s">
        <v>12</v>
      </c>
      <c r="D16" s="4">
        <v>85</v>
      </c>
      <c r="E16" s="4">
        <v>86</v>
      </c>
      <c r="F16" s="12">
        <f t="shared" si="1"/>
        <v>85.5</v>
      </c>
      <c r="G16" s="12">
        <f t="shared" si="0"/>
        <v>86</v>
      </c>
      <c r="H16" s="12" t="str">
        <f t="shared" si="2"/>
        <v>B</v>
      </c>
      <c r="I16" s="12">
        <f t="shared" si="3"/>
        <v>6</v>
      </c>
      <c r="J16" s="12">
        <f t="shared" si="4"/>
        <v>2</v>
      </c>
      <c r="K16" s="12" t="str">
        <f t="shared" si="5"/>
        <v>是</v>
      </c>
      <c r="L16" s="12"/>
    </row>
    <row r="17" spans="1:12" ht="15.6" x14ac:dyDescent="0.25">
      <c r="A17" s="12" t="str">
        <f>VLOOKUP(B17,Sheet1!B:F,5,FALSE)</f>
        <v>1609106007</v>
      </c>
      <c r="B17" s="4" t="s">
        <v>24</v>
      </c>
      <c r="C17" s="4" t="s">
        <v>12</v>
      </c>
      <c r="D17" s="4">
        <v>77</v>
      </c>
      <c r="E17" s="4">
        <v>90</v>
      </c>
      <c r="F17" s="12">
        <f t="shared" si="1"/>
        <v>83.5</v>
      </c>
      <c r="G17" s="12">
        <f t="shared" si="0"/>
        <v>84</v>
      </c>
      <c r="H17" s="12" t="str">
        <f t="shared" si="2"/>
        <v>B</v>
      </c>
      <c r="I17" s="12">
        <f t="shared" si="3"/>
        <v>11</v>
      </c>
      <c r="J17" s="12">
        <f t="shared" si="4"/>
        <v>1</v>
      </c>
      <c r="K17" s="12" t="str">
        <f t="shared" si="5"/>
        <v>是</v>
      </c>
      <c r="L17" s="12"/>
    </row>
    <row r="18" spans="1:12" ht="15.6" x14ac:dyDescent="0.25">
      <c r="A18" s="12" t="str">
        <f>VLOOKUP(B18,Sheet1!B:F,5,FALSE)</f>
        <v>1609106009</v>
      </c>
      <c r="B18" s="4" t="s">
        <v>28</v>
      </c>
      <c r="C18" s="4" t="s">
        <v>12</v>
      </c>
      <c r="D18" s="4">
        <v>86</v>
      </c>
      <c r="E18" s="4">
        <v>87</v>
      </c>
      <c r="F18" s="12">
        <f t="shared" si="1"/>
        <v>86.5</v>
      </c>
      <c r="G18" s="12">
        <f t="shared" si="0"/>
        <v>87</v>
      </c>
      <c r="H18" s="12" t="str">
        <f t="shared" si="2"/>
        <v>B</v>
      </c>
      <c r="I18" s="12">
        <f t="shared" si="3"/>
        <v>4</v>
      </c>
      <c r="J18" s="12">
        <f t="shared" si="4"/>
        <v>1</v>
      </c>
      <c r="K18" s="12" t="str">
        <f t="shared" si="5"/>
        <v>是</v>
      </c>
      <c r="L18" s="12"/>
    </row>
    <row r="19" spans="1:12" ht="15.6" x14ac:dyDescent="0.25">
      <c r="A19" s="12" t="str">
        <f>VLOOKUP(B19,Sheet1!B:F,5,FALSE)</f>
        <v>1609106021</v>
      </c>
      <c r="B19" s="4" t="s">
        <v>52</v>
      </c>
      <c r="C19" s="4" t="s">
        <v>19</v>
      </c>
      <c r="D19" s="4">
        <v>82</v>
      </c>
      <c r="E19" s="4">
        <v>79</v>
      </c>
      <c r="F19" s="12">
        <f t="shared" si="1"/>
        <v>80.5</v>
      </c>
      <c r="G19" s="12">
        <f t="shared" si="0"/>
        <v>81</v>
      </c>
      <c r="H19" s="12" t="str">
        <f t="shared" si="2"/>
        <v>B</v>
      </c>
      <c r="I19" s="12">
        <f t="shared" si="3"/>
        <v>22</v>
      </c>
      <c r="J19" s="12">
        <f t="shared" si="4"/>
        <v>2</v>
      </c>
      <c r="K19" s="12" t="str">
        <f t="shared" si="5"/>
        <v>是</v>
      </c>
      <c r="L19" s="12"/>
    </row>
    <row r="20" spans="1:12" ht="15.6" x14ac:dyDescent="0.25">
      <c r="A20" s="12" t="str">
        <f>VLOOKUP(B20,Sheet1!B:F,5,FALSE)</f>
        <v>1609106012</v>
      </c>
      <c r="B20" s="4" t="s">
        <v>34</v>
      </c>
      <c r="C20" s="4" t="s">
        <v>19</v>
      </c>
      <c r="D20" s="4">
        <v>76</v>
      </c>
      <c r="E20" s="4">
        <v>81</v>
      </c>
      <c r="F20" s="12">
        <f t="shared" si="1"/>
        <v>78.5</v>
      </c>
      <c r="G20" s="12">
        <f t="shared" si="0"/>
        <v>79</v>
      </c>
      <c r="H20" s="12" t="str">
        <f t="shared" si="2"/>
        <v>C</v>
      </c>
      <c r="I20" s="12">
        <f t="shared" si="3"/>
        <v>26</v>
      </c>
      <c r="J20" s="12">
        <f t="shared" si="4"/>
        <v>1</v>
      </c>
      <c r="K20" s="12" t="str">
        <f t="shared" si="5"/>
        <v>是</v>
      </c>
      <c r="L20" s="12"/>
    </row>
    <row r="21" spans="1:12" ht="15.6" x14ac:dyDescent="0.25">
      <c r="A21" s="12" t="str">
        <f>VLOOKUP(B21,Sheet1!B:F,5,FALSE)</f>
        <v>1609106015</v>
      </c>
      <c r="B21" s="4" t="s">
        <v>40</v>
      </c>
      <c r="C21" s="4" t="s">
        <v>12</v>
      </c>
      <c r="D21" s="4">
        <v>80</v>
      </c>
      <c r="E21" s="4">
        <v>76</v>
      </c>
      <c r="F21" s="12">
        <f t="shared" si="1"/>
        <v>78</v>
      </c>
      <c r="G21" s="12">
        <f t="shared" si="0"/>
        <v>78</v>
      </c>
      <c r="H21" s="12" t="str">
        <f t="shared" si="2"/>
        <v>C</v>
      </c>
      <c r="I21" s="12">
        <f t="shared" si="3"/>
        <v>27</v>
      </c>
      <c r="J21" s="12">
        <f t="shared" si="4"/>
        <v>3</v>
      </c>
      <c r="K21" s="12" t="str">
        <f t="shared" si="5"/>
        <v>是</v>
      </c>
      <c r="L21" s="12"/>
    </row>
    <row r="22" spans="1:12" ht="15.6" x14ac:dyDescent="0.25">
      <c r="A22" s="12" t="str">
        <f>VLOOKUP(B22,Sheet1!B:F,5,FALSE)</f>
        <v>1609106016</v>
      </c>
      <c r="B22" s="4" t="s">
        <v>42</v>
      </c>
      <c r="C22" s="4" t="s">
        <v>12</v>
      </c>
      <c r="D22" s="4">
        <v>79</v>
      </c>
      <c r="E22" s="4">
        <v>84</v>
      </c>
      <c r="F22" s="12">
        <f t="shared" si="1"/>
        <v>81.5</v>
      </c>
      <c r="G22" s="12">
        <f t="shared" si="0"/>
        <v>82</v>
      </c>
      <c r="H22" s="12" t="str">
        <f t="shared" si="2"/>
        <v>B</v>
      </c>
      <c r="I22" s="12">
        <f t="shared" si="3"/>
        <v>18</v>
      </c>
      <c r="J22" s="12">
        <f t="shared" si="4"/>
        <v>3</v>
      </c>
      <c r="K22" s="12" t="str">
        <f t="shared" si="5"/>
        <v>是</v>
      </c>
      <c r="L22" s="12"/>
    </row>
    <row r="23" spans="1:12" ht="15.6" x14ac:dyDescent="0.25">
      <c r="A23" s="12" t="str">
        <f>VLOOKUP(B23,Sheet1!B:F,5,FALSE)</f>
        <v>1609106020</v>
      </c>
      <c r="B23" s="4" t="s">
        <v>50</v>
      </c>
      <c r="C23" s="4" t="s">
        <v>12</v>
      </c>
      <c r="D23" s="4">
        <v>83</v>
      </c>
      <c r="E23" s="4">
        <v>82</v>
      </c>
      <c r="F23" s="12">
        <f t="shared" si="1"/>
        <v>82.5</v>
      </c>
      <c r="G23" s="12">
        <f t="shared" si="0"/>
        <v>83</v>
      </c>
      <c r="H23" s="12" t="str">
        <f t="shared" si="2"/>
        <v>B</v>
      </c>
      <c r="I23" s="12">
        <f t="shared" si="3"/>
        <v>12</v>
      </c>
      <c r="J23" s="12">
        <f t="shared" si="4"/>
        <v>3</v>
      </c>
      <c r="K23" s="12" t="str">
        <f t="shared" si="5"/>
        <v>是</v>
      </c>
      <c r="L23" s="12"/>
    </row>
    <row r="24" spans="1:12" ht="15.6" x14ac:dyDescent="0.25">
      <c r="A24" s="12" t="str">
        <f>VLOOKUP(B24,Sheet1!B:F,5,FALSE)</f>
        <v>1609106024</v>
      </c>
      <c r="B24" s="4" t="s">
        <v>58</v>
      </c>
      <c r="C24" s="4" t="s">
        <v>12</v>
      </c>
      <c r="D24" s="4">
        <v>89</v>
      </c>
      <c r="E24" s="4">
        <v>74</v>
      </c>
      <c r="F24" s="12">
        <f t="shared" si="1"/>
        <v>81.5</v>
      </c>
      <c r="G24" s="12">
        <f t="shared" si="0"/>
        <v>82</v>
      </c>
      <c r="H24" s="12" t="str">
        <f t="shared" si="2"/>
        <v>B</v>
      </c>
      <c r="I24" s="12">
        <f t="shared" si="3"/>
        <v>18</v>
      </c>
      <c r="J24" s="12">
        <f t="shared" si="4"/>
        <v>3</v>
      </c>
      <c r="K24" s="12" t="str">
        <f t="shared" si="5"/>
        <v>是</v>
      </c>
      <c r="L24" s="12"/>
    </row>
    <row r="25" spans="1:12" ht="15.6" x14ac:dyDescent="0.25">
      <c r="A25" s="12" t="str">
        <f>VLOOKUP(B25,Sheet1!B:F,5,FALSE)</f>
        <v>1609106023</v>
      </c>
      <c r="B25" s="4" t="s">
        <v>56</v>
      </c>
      <c r="C25" s="4" t="s">
        <v>12</v>
      </c>
      <c r="D25" s="4">
        <v>80</v>
      </c>
      <c r="E25" s="4">
        <v>85</v>
      </c>
      <c r="F25" s="12">
        <f t="shared" si="1"/>
        <v>82.5</v>
      </c>
      <c r="G25" s="12">
        <f t="shared" si="0"/>
        <v>83</v>
      </c>
      <c r="H25" s="12" t="str">
        <f t="shared" si="2"/>
        <v>B</v>
      </c>
      <c r="I25" s="12">
        <f t="shared" si="3"/>
        <v>12</v>
      </c>
      <c r="J25" s="12">
        <f t="shared" si="4"/>
        <v>3</v>
      </c>
      <c r="K25" s="12" t="str">
        <f t="shared" si="5"/>
        <v>是</v>
      </c>
      <c r="L25" s="12"/>
    </row>
    <row r="26" spans="1:12" ht="15.6" x14ac:dyDescent="0.25">
      <c r="A26" s="12" t="str">
        <f>VLOOKUP(B26,Sheet1!B:F,5,FALSE)</f>
        <v>1609106004</v>
      </c>
      <c r="B26" s="4" t="s">
        <v>15</v>
      </c>
      <c r="C26" s="4" t="s">
        <v>12</v>
      </c>
      <c r="D26" s="4">
        <v>83</v>
      </c>
      <c r="E26" s="4">
        <v>86</v>
      </c>
      <c r="F26" s="12">
        <f t="shared" si="1"/>
        <v>84.5</v>
      </c>
      <c r="G26" s="12">
        <f t="shared" si="0"/>
        <v>85</v>
      </c>
      <c r="H26" s="12" t="str">
        <f t="shared" si="2"/>
        <v>B</v>
      </c>
      <c r="I26" s="12">
        <f t="shared" si="3"/>
        <v>8</v>
      </c>
      <c r="J26" s="12">
        <f t="shared" si="4"/>
        <v>3</v>
      </c>
      <c r="K26" s="12" t="str">
        <f t="shared" si="5"/>
        <v>是</v>
      </c>
      <c r="L26" s="12"/>
    </row>
    <row r="27" spans="1:12" ht="15.6" x14ac:dyDescent="0.25">
      <c r="A27" s="12" t="str">
        <f>VLOOKUP(B27,Sheet1!B:F,5,FALSE)</f>
        <v>1609106030</v>
      </c>
      <c r="B27" s="4" t="s">
        <v>70</v>
      </c>
      <c r="C27" s="4" t="s">
        <v>12</v>
      </c>
      <c r="D27" s="4">
        <v>83</v>
      </c>
      <c r="E27" s="4">
        <v>82</v>
      </c>
      <c r="F27" s="12">
        <f t="shared" si="1"/>
        <v>82.5</v>
      </c>
      <c r="G27" s="12">
        <f t="shared" si="0"/>
        <v>83</v>
      </c>
      <c r="H27" s="12" t="str">
        <f t="shared" si="2"/>
        <v>B</v>
      </c>
      <c r="I27" s="12">
        <f t="shared" si="3"/>
        <v>12</v>
      </c>
      <c r="J27" s="12">
        <f t="shared" si="4"/>
        <v>3</v>
      </c>
      <c r="K27" s="12" t="str">
        <f t="shared" si="5"/>
        <v>是</v>
      </c>
      <c r="L27" s="12"/>
    </row>
    <row r="28" spans="1:12" ht="15.6" x14ac:dyDescent="0.25">
      <c r="A28" s="12" t="str">
        <f>VLOOKUP(B28,Sheet1!B:F,5,FALSE)</f>
        <v>1609106011</v>
      </c>
      <c r="B28" s="4" t="s">
        <v>32</v>
      </c>
      <c r="C28" s="4" t="s">
        <v>19</v>
      </c>
      <c r="D28" s="4">
        <v>83</v>
      </c>
      <c r="E28" s="4">
        <v>89</v>
      </c>
      <c r="F28" s="12">
        <f t="shared" si="1"/>
        <v>86</v>
      </c>
      <c r="G28" s="12">
        <f t="shared" si="0"/>
        <v>86</v>
      </c>
      <c r="H28" s="12" t="str">
        <f t="shared" si="2"/>
        <v>B</v>
      </c>
      <c r="I28" s="12">
        <f t="shared" si="3"/>
        <v>5</v>
      </c>
      <c r="J28" s="12">
        <f t="shared" si="4"/>
        <v>1</v>
      </c>
      <c r="K28" s="12" t="str">
        <f t="shared" si="5"/>
        <v>是</v>
      </c>
      <c r="L28" s="12"/>
    </row>
    <row r="29" spans="1:12" ht="15.6" x14ac:dyDescent="0.25">
      <c r="A29" s="12" t="str">
        <f>VLOOKUP(B29,Sheet1!B:F,5,FALSE)</f>
        <v>1609106008</v>
      </c>
      <c r="B29" s="4" t="s">
        <v>26</v>
      </c>
      <c r="C29" s="4" t="s">
        <v>19</v>
      </c>
      <c r="D29" s="4">
        <v>83</v>
      </c>
      <c r="E29" s="4">
        <v>79</v>
      </c>
      <c r="F29" s="12">
        <f t="shared" si="1"/>
        <v>81</v>
      </c>
      <c r="G29" s="12">
        <f t="shared" si="0"/>
        <v>81</v>
      </c>
      <c r="H29" s="12" t="str">
        <f t="shared" si="2"/>
        <v>B</v>
      </c>
      <c r="I29" s="12">
        <f t="shared" si="3"/>
        <v>21</v>
      </c>
      <c r="J29" s="12">
        <f t="shared" si="4"/>
        <v>1</v>
      </c>
      <c r="K29" s="12" t="str">
        <f t="shared" si="5"/>
        <v>是</v>
      </c>
      <c r="L29" s="12"/>
    </row>
    <row r="30" spans="1:12" ht="15.6" x14ac:dyDescent="0.25">
      <c r="A30" s="12" t="str">
        <f>VLOOKUP(B30,Sheet1!B:F,5,FALSE)</f>
        <v>1609106010</v>
      </c>
      <c r="B30" s="4" t="s">
        <v>30</v>
      </c>
      <c r="C30" s="4" t="s">
        <v>12</v>
      </c>
      <c r="D30" s="4">
        <v>86</v>
      </c>
      <c r="E30" s="4">
        <v>96</v>
      </c>
      <c r="F30" s="12">
        <f t="shared" si="1"/>
        <v>91</v>
      </c>
      <c r="G30" s="12">
        <f t="shared" si="0"/>
        <v>91</v>
      </c>
      <c r="H30" s="12" t="str">
        <f t="shared" si="2"/>
        <v>A</v>
      </c>
      <c r="I30" s="12">
        <f t="shared" si="3"/>
        <v>1</v>
      </c>
      <c r="J30" s="12">
        <f t="shared" si="4"/>
        <v>1</v>
      </c>
      <c r="K30" s="12" t="str">
        <f t="shared" si="5"/>
        <v>是</v>
      </c>
      <c r="L30" s="12"/>
    </row>
    <row r="31" spans="1:12" ht="15.6" x14ac:dyDescent="0.25">
      <c r="A31" s="12" t="str">
        <f>VLOOKUP(B31,Sheet1!B:F,5,FALSE)</f>
        <v>1609106017</v>
      </c>
      <c r="B31" s="4" t="s">
        <v>44</v>
      </c>
      <c r="C31" s="4" t="s">
        <v>19</v>
      </c>
      <c r="D31" s="4">
        <v>79</v>
      </c>
      <c r="E31" s="4">
        <v>80</v>
      </c>
      <c r="F31" s="12">
        <f t="shared" si="1"/>
        <v>79.5</v>
      </c>
      <c r="G31" s="12">
        <f t="shared" si="0"/>
        <v>80</v>
      </c>
      <c r="H31" s="12" t="str">
        <f t="shared" si="2"/>
        <v>C</v>
      </c>
      <c r="I31" s="12">
        <f t="shared" si="3"/>
        <v>24</v>
      </c>
      <c r="J31" s="12">
        <f t="shared" si="4"/>
        <v>2</v>
      </c>
      <c r="K31" s="12" t="str">
        <f t="shared" si="5"/>
        <v>是</v>
      </c>
      <c r="L31" s="12"/>
    </row>
    <row r="32" spans="1:12" ht="15.6" x14ac:dyDescent="0.25">
      <c r="A32" s="12" t="str">
        <f>VLOOKUP(B32,Sheet1!B:F,5,FALSE)</f>
        <v>1609106031</v>
      </c>
      <c r="B32" s="4" t="s">
        <v>72</v>
      </c>
      <c r="C32" s="4" t="s">
        <v>12</v>
      </c>
      <c r="D32" s="4">
        <v>82</v>
      </c>
      <c r="E32" s="4">
        <v>79</v>
      </c>
      <c r="F32" s="12">
        <f t="shared" si="1"/>
        <v>80.5</v>
      </c>
      <c r="G32" s="12">
        <f t="shared" si="0"/>
        <v>81</v>
      </c>
      <c r="H32" s="12" t="str">
        <f t="shared" si="2"/>
        <v>B</v>
      </c>
      <c r="I32" s="12">
        <f t="shared" si="3"/>
        <v>22</v>
      </c>
      <c r="J32" s="12">
        <f t="shared" si="4"/>
        <v>2</v>
      </c>
      <c r="K32" s="12" t="str">
        <f t="shared" si="5"/>
        <v>是</v>
      </c>
      <c r="L32" s="12"/>
    </row>
  </sheetData>
  <autoFilter ref="A1:O32" xr:uid="{00000000-0009-0000-0000-000001000000}"/>
  <phoneticPr fontId="8" type="noConversion"/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9"/>
  <sheetViews>
    <sheetView tabSelected="1" zoomScale="70" zoomScaleNormal="70" workbookViewId="0">
      <selection activeCell="G16" sqref="G16"/>
    </sheetView>
  </sheetViews>
  <sheetFormatPr defaultColWidth="8.88671875" defaultRowHeight="14.4" x14ac:dyDescent="0.25"/>
  <cols>
    <col min="1" max="1" width="13.6640625" customWidth="1"/>
    <col min="2" max="2" width="11.109375" customWidth="1"/>
    <col min="4" max="4" width="10.6640625" customWidth="1"/>
    <col min="5" max="5" width="12.33203125" customWidth="1"/>
    <col min="9" max="9" width="10.33203125" customWidth="1"/>
  </cols>
  <sheetData>
    <row r="1" spans="1:16" ht="21" customHeight="1" x14ac:dyDescent="0.25">
      <c r="A1" s="1" t="s">
        <v>5</v>
      </c>
      <c r="B1" s="1" t="s">
        <v>1</v>
      </c>
      <c r="C1" s="1" t="s">
        <v>2</v>
      </c>
      <c r="D1" s="1" t="s">
        <v>85</v>
      </c>
      <c r="E1" s="1" t="s">
        <v>86</v>
      </c>
      <c r="H1" s="2" t="s">
        <v>87</v>
      </c>
      <c r="I1" s="6" t="s">
        <v>88</v>
      </c>
      <c r="J1" s="6">
        <v>10.1</v>
      </c>
      <c r="K1" s="6">
        <v>11.1</v>
      </c>
      <c r="L1" s="6">
        <v>12.1</v>
      </c>
      <c r="M1" s="6">
        <v>13.1</v>
      </c>
      <c r="N1" s="6">
        <v>14.1</v>
      </c>
      <c r="O1" s="6">
        <v>15.1</v>
      </c>
      <c r="P1" s="6">
        <v>16.100000000000001</v>
      </c>
    </row>
    <row r="2" spans="1:16" ht="15.6" x14ac:dyDescent="0.25">
      <c r="A2" s="3">
        <v>1609106001</v>
      </c>
      <c r="B2" s="4" t="s">
        <v>11</v>
      </c>
      <c r="C2" s="4" t="s">
        <v>12</v>
      </c>
      <c r="D2" s="4">
        <v>89</v>
      </c>
      <c r="E2" s="4">
        <v>74</v>
      </c>
      <c r="H2" s="18" t="s">
        <v>89</v>
      </c>
      <c r="I2" s="7" t="s">
        <v>90</v>
      </c>
      <c r="J2" s="7">
        <v>2242.84</v>
      </c>
      <c r="K2" s="7">
        <v>2366.7199999999998</v>
      </c>
      <c r="L2" s="7">
        <v>2334.58</v>
      </c>
      <c r="M2" s="7">
        <v>2284.29</v>
      </c>
      <c r="N2" s="7">
        <v>2366.5100000000002</v>
      </c>
      <c r="O2" s="7">
        <v>2302.2800000000002</v>
      </c>
      <c r="P2" s="7">
        <v>2361.3200000000002</v>
      </c>
    </row>
    <row r="3" spans="1:16" ht="15.6" x14ac:dyDescent="0.25">
      <c r="A3" s="3">
        <v>1609106024</v>
      </c>
      <c r="B3" s="4" t="s">
        <v>60</v>
      </c>
      <c r="C3" s="4" t="s">
        <v>12</v>
      </c>
      <c r="D3" s="4">
        <v>80</v>
      </c>
      <c r="E3" s="4">
        <v>76</v>
      </c>
      <c r="H3" s="19"/>
      <c r="I3" s="7" t="s">
        <v>91</v>
      </c>
      <c r="J3" s="7">
        <v>2322.65</v>
      </c>
      <c r="K3" s="7">
        <v>2322.65</v>
      </c>
      <c r="L3" s="7">
        <v>2322.65</v>
      </c>
      <c r="M3" s="7">
        <v>2322.65</v>
      </c>
      <c r="N3" s="7">
        <v>2322.65</v>
      </c>
      <c r="O3" s="7">
        <v>2322.65</v>
      </c>
      <c r="P3" s="7">
        <v>2322.65</v>
      </c>
    </row>
    <row r="4" spans="1:16" ht="15.6" x14ac:dyDescent="0.25">
      <c r="A4" s="3">
        <v>1609106022</v>
      </c>
      <c r="B4" s="4" t="s">
        <v>62</v>
      </c>
      <c r="C4" s="4" t="s">
        <v>12</v>
      </c>
      <c r="D4" s="4">
        <v>80</v>
      </c>
      <c r="E4" s="4">
        <v>85</v>
      </c>
      <c r="H4" s="5" t="s">
        <v>87</v>
      </c>
      <c r="I4" s="6" t="s">
        <v>88</v>
      </c>
      <c r="J4" s="8">
        <v>5.26</v>
      </c>
      <c r="K4" s="8">
        <v>5.27</v>
      </c>
      <c r="L4" s="8">
        <v>5.28</v>
      </c>
      <c r="M4" s="8">
        <v>5.29</v>
      </c>
      <c r="N4" s="8">
        <v>5.3</v>
      </c>
      <c r="O4" s="8">
        <v>5.31</v>
      </c>
      <c r="P4" s="8">
        <v>6.01</v>
      </c>
    </row>
    <row r="5" spans="1:16" ht="15.6" x14ac:dyDescent="0.25">
      <c r="A5" s="3">
        <v>1609106015</v>
      </c>
      <c r="B5" s="4" t="s">
        <v>46</v>
      </c>
      <c r="C5" s="4" t="s">
        <v>19</v>
      </c>
      <c r="D5" s="4">
        <v>82</v>
      </c>
      <c r="E5" s="4">
        <v>92</v>
      </c>
      <c r="H5" s="20" t="s">
        <v>92</v>
      </c>
      <c r="I5" s="9" t="s">
        <v>90</v>
      </c>
      <c r="J5" s="9">
        <v>2300.31</v>
      </c>
      <c r="K5" s="9">
        <v>2400.0700000000002</v>
      </c>
      <c r="L5" s="9">
        <v>2407.6</v>
      </c>
      <c r="M5" s="9">
        <v>2362.5100000000002</v>
      </c>
      <c r="N5" s="9">
        <v>2389.81</v>
      </c>
      <c r="O5" s="9">
        <v>2509.7600000000002</v>
      </c>
      <c r="P5" s="9">
        <v>2457.1</v>
      </c>
    </row>
    <row r="6" spans="1:16" ht="15.6" x14ac:dyDescent="0.25">
      <c r="A6" s="3">
        <v>1609106014</v>
      </c>
      <c r="B6" s="4" t="s">
        <v>36</v>
      </c>
      <c r="C6" s="4" t="s">
        <v>19</v>
      </c>
      <c r="D6" s="4">
        <v>83</v>
      </c>
      <c r="E6" s="4">
        <v>79</v>
      </c>
      <c r="H6" s="21"/>
      <c r="I6" s="9" t="s">
        <v>91</v>
      </c>
      <c r="J6" s="9">
        <v>2403.88</v>
      </c>
      <c r="K6" s="9">
        <v>2403.88</v>
      </c>
      <c r="L6" s="9">
        <v>2403.88</v>
      </c>
      <c r="M6" s="9">
        <v>2403.88</v>
      </c>
      <c r="N6" s="9">
        <v>2403.88</v>
      </c>
      <c r="O6" s="9">
        <v>2403.88</v>
      </c>
      <c r="P6" s="9">
        <v>2403.88</v>
      </c>
    </row>
    <row r="7" spans="1:16" ht="15.6" x14ac:dyDescent="0.25">
      <c r="A7" s="3">
        <v>1609106002</v>
      </c>
      <c r="B7" s="4" t="s">
        <v>18</v>
      </c>
      <c r="C7" s="4" t="s">
        <v>12</v>
      </c>
      <c r="D7" s="4">
        <v>86</v>
      </c>
      <c r="E7" s="4">
        <v>96</v>
      </c>
    </row>
    <row r="8" spans="1:16" ht="15.6" x14ac:dyDescent="0.25">
      <c r="A8" s="3">
        <v>1609106026</v>
      </c>
      <c r="B8" s="4" t="s">
        <v>66</v>
      </c>
      <c r="C8" s="4" t="s">
        <v>12</v>
      </c>
      <c r="D8" s="4">
        <v>79</v>
      </c>
      <c r="E8" s="4">
        <v>84</v>
      </c>
    </row>
    <row r="9" spans="1:16" ht="15.6" x14ac:dyDescent="0.25">
      <c r="A9" s="3">
        <v>1609106010</v>
      </c>
      <c r="B9" s="4" t="s">
        <v>38</v>
      </c>
      <c r="C9" s="4" t="s">
        <v>19</v>
      </c>
      <c r="D9" s="4">
        <v>83</v>
      </c>
      <c r="E9" s="4">
        <v>89</v>
      </c>
    </row>
    <row r="10" spans="1:16" ht="15.6" x14ac:dyDescent="0.25">
      <c r="A10" s="3">
        <v>1609106030</v>
      </c>
      <c r="B10" s="4" t="s">
        <v>74</v>
      </c>
      <c r="C10" s="4" t="s">
        <v>19</v>
      </c>
      <c r="D10" s="4">
        <v>76</v>
      </c>
      <c r="E10" s="4">
        <v>81</v>
      </c>
    </row>
    <row r="11" spans="1:16" ht="15.6" x14ac:dyDescent="0.25">
      <c r="A11" s="3">
        <v>1609106027</v>
      </c>
      <c r="B11" s="4" t="s">
        <v>68</v>
      </c>
      <c r="C11" s="4" t="s">
        <v>19</v>
      </c>
      <c r="D11" s="4">
        <v>79</v>
      </c>
      <c r="E11" s="4">
        <v>80</v>
      </c>
    </row>
    <row r="12" spans="1:16" ht="15.6" x14ac:dyDescent="0.25">
      <c r="A12" s="3">
        <v>1609106025</v>
      </c>
      <c r="B12" s="4" t="s">
        <v>64</v>
      </c>
      <c r="C12" s="4" t="s">
        <v>12</v>
      </c>
      <c r="D12" s="4">
        <v>80</v>
      </c>
      <c r="E12" s="4">
        <v>76</v>
      </c>
    </row>
    <row r="13" spans="1:16" ht="15.6" x14ac:dyDescent="0.25">
      <c r="A13" s="3">
        <v>1609106018</v>
      </c>
      <c r="B13" s="4" t="s">
        <v>48</v>
      </c>
      <c r="C13" s="4" t="s">
        <v>19</v>
      </c>
      <c r="D13" s="4">
        <v>82</v>
      </c>
      <c r="E13" s="4">
        <v>79</v>
      </c>
    </row>
    <row r="14" spans="1:16" ht="15.6" x14ac:dyDescent="0.25">
      <c r="A14" s="3">
        <v>1609106004</v>
      </c>
      <c r="B14" s="4" t="s">
        <v>22</v>
      </c>
      <c r="C14" s="4" t="s">
        <v>19</v>
      </c>
      <c r="D14" s="4">
        <v>85</v>
      </c>
      <c r="E14" s="4">
        <v>94</v>
      </c>
    </row>
    <row r="15" spans="1:16" ht="15.6" x14ac:dyDescent="0.25">
      <c r="A15" s="3">
        <v>1609106020</v>
      </c>
      <c r="B15" s="4" t="s">
        <v>54</v>
      </c>
      <c r="C15" s="4" t="s">
        <v>12</v>
      </c>
      <c r="D15" s="4">
        <v>81</v>
      </c>
      <c r="E15" s="4">
        <v>82</v>
      </c>
    </row>
    <row r="16" spans="1:16" ht="15.6" x14ac:dyDescent="0.25">
      <c r="A16" s="3">
        <v>1609106008</v>
      </c>
      <c r="B16" s="4" t="s">
        <v>24</v>
      </c>
      <c r="C16" s="4" t="s">
        <v>12</v>
      </c>
      <c r="D16" s="4">
        <v>85</v>
      </c>
      <c r="E16" s="4">
        <v>79</v>
      </c>
    </row>
    <row r="17" spans="1:5" ht="15.6" x14ac:dyDescent="0.25">
      <c r="A17" s="3">
        <v>1609106007</v>
      </c>
      <c r="B17" s="4" t="s">
        <v>28</v>
      </c>
      <c r="C17" s="4" t="s">
        <v>12</v>
      </c>
      <c r="D17" s="4">
        <v>85</v>
      </c>
      <c r="E17" s="4">
        <v>84</v>
      </c>
    </row>
    <row r="18" spans="1:5" ht="15.6" x14ac:dyDescent="0.25">
      <c r="A18" s="3">
        <v>1609106019</v>
      </c>
      <c r="B18" s="4" t="s">
        <v>52</v>
      </c>
      <c r="C18" s="4" t="s">
        <v>12</v>
      </c>
      <c r="D18" s="4">
        <v>82</v>
      </c>
      <c r="E18" s="4">
        <v>79</v>
      </c>
    </row>
    <row r="19" spans="1:5" ht="15.6" x14ac:dyDescent="0.25">
      <c r="A19" s="3">
        <v>1609106011</v>
      </c>
      <c r="B19" s="4" t="s">
        <v>34</v>
      </c>
      <c r="C19" s="4" t="s">
        <v>12</v>
      </c>
      <c r="D19" s="4">
        <v>83</v>
      </c>
      <c r="E19" s="4">
        <v>86</v>
      </c>
    </row>
    <row r="20" spans="1:5" ht="15.6" x14ac:dyDescent="0.25">
      <c r="A20" s="3">
        <v>1609106012</v>
      </c>
      <c r="B20" s="4" t="s">
        <v>40</v>
      </c>
      <c r="C20" s="4" t="s">
        <v>12</v>
      </c>
      <c r="D20" s="4">
        <v>83</v>
      </c>
      <c r="E20" s="4">
        <v>82</v>
      </c>
    </row>
    <row r="21" spans="1:5" ht="15.6" x14ac:dyDescent="0.25">
      <c r="A21" s="3">
        <v>1609106013</v>
      </c>
      <c r="B21" s="4" t="s">
        <v>42</v>
      </c>
      <c r="C21" s="4" t="s">
        <v>12</v>
      </c>
      <c r="D21" s="4">
        <v>83</v>
      </c>
      <c r="E21" s="4">
        <v>82</v>
      </c>
    </row>
    <row r="22" spans="1:5" ht="15.6" x14ac:dyDescent="0.25">
      <c r="A22" s="3">
        <v>1609106016</v>
      </c>
      <c r="B22" s="4" t="s">
        <v>50</v>
      </c>
      <c r="C22" s="4" t="s">
        <v>12</v>
      </c>
      <c r="D22" s="4">
        <v>82</v>
      </c>
      <c r="E22" s="4">
        <v>87</v>
      </c>
    </row>
    <row r="23" spans="1:5" ht="15.6" x14ac:dyDescent="0.25">
      <c r="A23" s="3">
        <v>1609106023</v>
      </c>
      <c r="B23" s="4" t="s">
        <v>58</v>
      </c>
      <c r="C23" s="4" t="s">
        <v>12</v>
      </c>
      <c r="D23" s="4">
        <v>80</v>
      </c>
      <c r="E23" s="4">
        <v>76</v>
      </c>
    </row>
    <row r="24" spans="1:5" ht="15.6" x14ac:dyDescent="0.25">
      <c r="A24" s="3">
        <v>1609106021</v>
      </c>
      <c r="B24" s="4" t="s">
        <v>56</v>
      </c>
      <c r="C24" s="4" t="s">
        <v>12</v>
      </c>
      <c r="D24" s="4">
        <v>81</v>
      </c>
      <c r="E24" s="4">
        <v>70</v>
      </c>
    </row>
    <row r="25" spans="1:5" ht="15.6" x14ac:dyDescent="0.25">
      <c r="A25" s="3">
        <v>1609106003</v>
      </c>
      <c r="B25" s="4" t="s">
        <v>15</v>
      </c>
      <c r="C25" s="4" t="s">
        <v>12</v>
      </c>
      <c r="D25" s="4">
        <v>86</v>
      </c>
      <c r="E25" s="4">
        <v>87</v>
      </c>
    </row>
    <row r="26" spans="1:5" ht="15.6" x14ac:dyDescent="0.25">
      <c r="A26" s="3">
        <v>1609106028</v>
      </c>
      <c r="B26" s="4" t="s">
        <v>70</v>
      </c>
      <c r="C26" s="4" t="s">
        <v>12</v>
      </c>
      <c r="D26" s="4">
        <v>79</v>
      </c>
      <c r="E26" s="4">
        <v>80</v>
      </c>
    </row>
    <row r="27" spans="1:5" ht="15.6" x14ac:dyDescent="0.25">
      <c r="A27" s="3">
        <v>1609106006</v>
      </c>
      <c r="B27" s="4" t="s">
        <v>32</v>
      </c>
      <c r="C27" s="4" t="s">
        <v>12</v>
      </c>
      <c r="D27" s="4">
        <v>85</v>
      </c>
      <c r="E27" s="4">
        <v>86</v>
      </c>
    </row>
    <row r="28" spans="1:5" ht="15.6" x14ac:dyDescent="0.25">
      <c r="A28" s="3">
        <v>1609106005</v>
      </c>
      <c r="B28" s="4" t="s">
        <v>26</v>
      </c>
      <c r="C28" s="4" t="s">
        <v>12</v>
      </c>
      <c r="D28" s="4">
        <v>85</v>
      </c>
      <c r="E28" s="4">
        <v>86</v>
      </c>
    </row>
    <row r="29" spans="1:5" ht="15.6" x14ac:dyDescent="0.25">
      <c r="A29" s="3">
        <v>1609106009</v>
      </c>
      <c r="B29" s="4" t="s">
        <v>30</v>
      </c>
      <c r="C29" s="4" t="s">
        <v>12</v>
      </c>
      <c r="D29" s="4">
        <v>85</v>
      </c>
      <c r="E29" s="4">
        <v>79</v>
      </c>
    </row>
    <row r="30" spans="1:5" ht="15.6" x14ac:dyDescent="0.25">
      <c r="A30" s="3">
        <v>1609106017</v>
      </c>
      <c r="B30" s="4" t="s">
        <v>44</v>
      </c>
      <c r="C30" s="4" t="s">
        <v>12</v>
      </c>
      <c r="D30" s="4">
        <v>82</v>
      </c>
      <c r="E30" s="4">
        <v>82</v>
      </c>
    </row>
    <row r="31" spans="1:5" ht="15.6" x14ac:dyDescent="0.25">
      <c r="A31" s="3">
        <v>1609106029</v>
      </c>
      <c r="B31" s="4" t="s">
        <v>72</v>
      </c>
      <c r="C31" s="4" t="s">
        <v>12</v>
      </c>
      <c r="D31" s="4">
        <v>77</v>
      </c>
      <c r="E31" s="4">
        <v>90</v>
      </c>
    </row>
    <row r="69" spans="1:1" x14ac:dyDescent="0.25">
      <c r="A69">
        <f>SUM(D17:D31)</f>
        <v>1238</v>
      </c>
    </row>
  </sheetData>
  <autoFilter ref="A1:E31" xr:uid="{00000000-0009-0000-0000-000002000000}"/>
  <mergeCells count="2">
    <mergeCell ref="H2:H3"/>
    <mergeCell ref="H5:H6"/>
  </mergeCells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张国斌</cp:lastModifiedBy>
  <dcterms:created xsi:type="dcterms:W3CDTF">2020-04-15T03:08:00Z</dcterms:created>
  <dcterms:modified xsi:type="dcterms:W3CDTF">2025-12-26T08:14:23Z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F9E108B8446647E3952784DD562C79E4_12</vt:lpwstr>
  </property>
</Properties>
</file>